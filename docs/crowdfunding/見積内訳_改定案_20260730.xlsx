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見積内訳_改定案" sheetId="1" state="visible" r:id="rId1"/>
  </sheets>
  <definedNames>
    <definedName name="_xlnm._FilterDatabase" localSheetId="0" hidden="1">'見積内訳_改定案'!$A$5:$M$61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ヒラギノ角ゴ ProN W3"/>
      <b val="1"/>
      <color rgb="FF22323A"/>
      <sz val="14"/>
    </font>
    <font>
      <name val="ヒラギノ角ゴ ProN W3"/>
      <color rgb="FF5D717B"/>
      <sz val="9"/>
    </font>
    <font>
      <name val="ヒラギノ角ゴ ProN W3"/>
      <b val="1"/>
      <color rgb="FFFFFFFF"/>
      <sz val="9.5"/>
    </font>
    <font>
      <name val="ヒラギノ角ゴ ProN W3"/>
      <b val="1"/>
      <color rgb="FF22323A"/>
      <sz val="10"/>
    </font>
    <font>
      <name val="ヒラギノ角ゴ ProN W3"/>
      <color rgb="FF22323A"/>
      <sz val="10"/>
    </font>
    <font>
      <name val="ヒラギノ角ゴ ProN W3"/>
      <color rgb="FF22323A"/>
      <sz val="9"/>
    </font>
    <font>
      <name val="ヒラギノ角ゴ ProN W3"/>
      <color rgb="FFB9760B"/>
      <sz val="9"/>
    </font>
    <font>
      <name val="ヒラギノ角ゴ ProN W3"/>
      <color rgb="FFA83E26"/>
      <sz val="9"/>
    </font>
    <font>
      <name val="ヒラギノ角ゴ ProN W3"/>
      <b val="1"/>
      <color rgb="FFFFFFFF"/>
      <sz val="11"/>
    </font>
    <font>
      <name val="ヒラギノ角ゴ ProN W3"/>
      <b val="1"/>
      <color rgb="FF22323A"/>
      <sz val="11"/>
    </font>
    <font>
      <name val="ヒラギノ角ゴ ProN W3"/>
      <b val="1"/>
      <color rgb="FF1B5F5B"/>
      <sz val="9.5"/>
    </font>
    <font>
      <name val="ヒラギノ角ゴ ProN W3"/>
      <color rgb="FF5D717B"/>
      <sz val="9.5"/>
    </font>
  </fonts>
  <fills count="7">
    <fill>
      <patternFill/>
    </fill>
    <fill>
      <patternFill patternType="gray125"/>
    </fill>
    <fill>
      <patternFill patternType="solid">
        <fgColor rgb="FF1B5F5B"/>
      </patternFill>
    </fill>
    <fill>
      <patternFill patternType="solid">
        <fgColor rgb="FFFDF3E2"/>
      </patternFill>
    </fill>
    <fill>
      <patternFill patternType="solid">
        <fgColor rgb="FFFBEDE8"/>
      </patternFill>
    </fill>
    <fill>
      <patternFill patternType="solid">
        <fgColor rgb="FFDCEEEA"/>
      </patternFill>
    </fill>
    <fill>
      <patternFill patternType="solid">
        <fgColor rgb="FFF2F5F5"/>
      </patternFill>
    </fill>
  </fills>
  <borders count="2">
    <border>
      <left/>
      <right/>
      <top/>
      <bottom/>
      <diagonal/>
    </border>
    <border>
      <left style="thin">
        <color rgb="FFCFDCDA"/>
      </left>
      <right style="thin">
        <color rgb="FFCFDCDA"/>
      </right>
      <top style="thin">
        <color rgb="FFCFDCDA"/>
      </top>
      <bottom style="thin">
        <color rgb="FFCFDCDA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3" fontId="9" fillId="2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3" fontId="10" fillId="5" borderId="1" applyAlignment="1" pivotButton="0" quotePrefix="0" xfId="0">
      <alignment horizontal="right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4" customWidth="1" min="3" max="3"/>
    <col width="52" customWidth="1" min="4" max="4"/>
    <col width="6" customWidth="1" min="5" max="5"/>
    <col width="7" customWidth="1" min="6" max="6"/>
    <col width="12" customWidth="1" min="7" max="7"/>
    <col width="12" customWidth="1" min="8" max="8"/>
    <col width="13" customWidth="1" min="9" max="9"/>
    <col width="13" customWidth="1" min="10" max="10"/>
    <col width="9" customWidth="1" min="11" max="11"/>
    <col width="12" customWidth="1" min="12" max="12"/>
    <col width="22" customWidth="1" min="13" max="13"/>
  </cols>
  <sheetData>
    <row r="1">
      <c r="A1" s="1" t="inlineStr">
        <is>
          <t>御見積 内訳（改定案）　クラウドファンディング実施一式</t>
        </is>
      </c>
    </row>
    <row r="2">
      <c r="A2" s="2" t="inlineStr">
        <is>
          <t>lipro_見積_0730 をベースに、金額未記入項目の充当・広告予算の分離・追加推奨項目を反映した内訳案</t>
        </is>
      </c>
    </row>
    <row r="3">
      <c r="A3" s="2" t="inlineStr">
        <is>
          <t>作成 2026/7/30　株式会社Casokdo　／　想定公開 2026年11月11日・終了 12月25日（45日間）　／　媒体 きびだんご × GREEN FUNDING 併催</t>
        </is>
      </c>
    </row>
    <row r="5" ht="32" customHeight="1">
      <c r="A5" s="3" t="inlineStr">
        <is>
          <t>ブロック</t>
        </is>
      </c>
      <c r="B5" s="3" t="inlineStr">
        <is>
          <t>セクション</t>
        </is>
      </c>
      <c r="C5" s="3" t="inlineStr">
        <is>
          <t>項目名</t>
        </is>
      </c>
      <c r="D5" s="3" t="inlineStr">
        <is>
          <t>前提・仕様の明記例</t>
        </is>
      </c>
      <c r="E5" s="3" t="inlineStr">
        <is>
          <t>数量</t>
        </is>
      </c>
      <c r="F5" s="3" t="inlineStr">
        <is>
          <t>単位</t>
        </is>
      </c>
      <c r="G5" s="3" t="inlineStr">
        <is>
          <t>単価(下限)</t>
        </is>
      </c>
      <c r="H5" s="3" t="inlineStr">
        <is>
          <t>単価(上限)</t>
        </is>
      </c>
      <c r="I5" s="3" t="inlineStr">
        <is>
          <t>金額(下限)</t>
        </is>
      </c>
      <c r="J5" s="3" t="inlineStr">
        <is>
          <t>金額(上限)</t>
        </is>
      </c>
      <c r="K5" s="3" t="inlineStr">
        <is>
          <t>区分</t>
        </is>
      </c>
      <c r="L5" s="3" t="inlineStr">
        <is>
          <t>担当</t>
        </is>
      </c>
      <c r="M5" s="3" t="inlineStr">
        <is>
          <t>状態</t>
        </is>
      </c>
    </row>
    <row r="6" ht="30" customHeight="1">
      <c r="A6" s="4" t="inlineStr">
        <is>
          <t>A</t>
        </is>
      </c>
      <c r="B6" s="5" t="inlineStr">
        <is>
          <t>手続き・契約・基本設計</t>
        </is>
      </c>
      <c r="C6" s="5" t="inlineStr">
        <is>
          <t>プラットフォーム担当者とのMTG、プロジェクト基本情報整理</t>
        </is>
      </c>
      <c r="D6" s="6" t="inlineStr">
        <is>
          <t>2媒体（きびだんご／GREEN FUNDING）分の窓口対応を含む</t>
        </is>
      </c>
      <c r="E6" s="7" t="n">
        <v>1</v>
      </c>
      <c r="F6" s="7" t="inlineStr">
        <is>
          <t>式</t>
        </is>
      </c>
      <c r="G6" s="8" t="n">
        <v>50000</v>
      </c>
      <c r="H6" s="8" t="n">
        <v>80000</v>
      </c>
      <c r="I6" s="8">
        <f>IF(ISNUMBER(G6),E6*G6,"別途")</f>
        <v/>
      </c>
      <c r="J6" s="8">
        <f>IF(ISNUMBER(H6),E6*H6,"別途")</f>
        <v/>
      </c>
      <c r="K6" s="9" t="inlineStr">
        <is>
          <t>フィー</t>
        </is>
      </c>
      <c r="L6" s="9" t="inlineStr">
        <is>
          <t>Casokdo</t>
        </is>
      </c>
      <c r="M6" s="6" t="inlineStr">
        <is>
          <t>既存/要増額検討</t>
        </is>
      </c>
    </row>
    <row r="7" ht="30" customHeight="1">
      <c r="A7" s="10" t="inlineStr">
        <is>
          <t>A</t>
        </is>
      </c>
      <c r="B7" s="11" t="inlineStr">
        <is>
          <t>企画・戦略</t>
        </is>
      </c>
      <c r="C7" s="11" t="inlineStr">
        <is>
          <t>競合クラファン調査・着地シミュレーション</t>
        </is>
      </c>
      <c r="D7" s="12" t="inlineStr">
        <is>
          <t>同カテゴリ類似案件の着地額・価格帯・支援者数の分析</t>
        </is>
      </c>
      <c r="E7" s="13" t="n">
        <v>1</v>
      </c>
      <c r="F7" s="13" t="inlineStr">
        <is>
          <t>式</t>
        </is>
      </c>
      <c r="G7" s="14" t="n">
        <v>50000</v>
      </c>
      <c r="H7" s="14" t="n">
        <v>80000</v>
      </c>
      <c r="I7" s="14">
        <f>IF(ISNUMBER(G7),E7*G7,"別途")</f>
        <v/>
      </c>
      <c r="J7" s="14">
        <f>IF(ISNUMBER(H7),E7*H7,"別途")</f>
        <v/>
      </c>
      <c r="K7" s="15" t="inlineStr">
        <is>
          <t>フィー</t>
        </is>
      </c>
      <c r="L7" s="15" t="inlineStr">
        <is>
          <t>Casokdo</t>
        </is>
      </c>
      <c r="M7" s="16" t="inlineStr">
        <is>
          <t>★追加推奨</t>
        </is>
      </c>
    </row>
    <row r="8" ht="30" customHeight="1">
      <c r="A8" s="10" t="inlineStr">
        <is>
          <t>A</t>
        </is>
      </c>
      <c r="B8" s="11" t="inlineStr">
        <is>
          <t>企画・戦略</t>
        </is>
      </c>
      <c r="C8" s="11" t="inlineStr">
        <is>
          <t>目標金額・価格設計（逆算）</t>
        </is>
      </c>
      <c r="D8" s="12" t="inlineStr">
        <is>
          <t>原価・手数料20%・送料・関税から支援価格を逆算</t>
        </is>
      </c>
      <c r="E8" s="13" t="n">
        <v>1</v>
      </c>
      <c r="F8" s="13" t="inlineStr">
        <is>
          <t>式</t>
        </is>
      </c>
      <c r="G8" s="14" t="n">
        <v>50000</v>
      </c>
      <c r="H8" s="14" t="n">
        <v>50000</v>
      </c>
      <c r="I8" s="14">
        <f>IF(ISNUMBER(G8),E8*G8,"別途")</f>
        <v/>
      </c>
      <c r="J8" s="14">
        <f>IF(ISNUMBER(H8),E8*H8,"別途")</f>
        <v/>
      </c>
      <c r="K8" s="15" t="inlineStr">
        <is>
          <t>フィー</t>
        </is>
      </c>
      <c r="L8" s="15" t="inlineStr">
        <is>
          <t>Casokdo</t>
        </is>
      </c>
      <c r="M8" s="16" t="inlineStr">
        <is>
          <t>★追加推奨</t>
        </is>
      </c>
    </row>
    <row r="9" ht="30" customHeight="1">
      <c r="A9" s="10" t="inlineStr">
        <is>
          <t>A</t>
        </is>
      </c>
      <c r="B9" s="11" t="inlineStr">
        <is>
          <t>企画・戦略</t>
        </is>
      </c>
      <c r="C9" s="11" t="inlineStr">
        <is>
          <t>KPI設計・広告シミュレーション</t>
        </is>
      </c>
      <c r="D9" s="12" t="inlineStr">
        <is>
          <t>目標支援者数／許容CPA／週次判断基準の設定</t>
        </is>
      </c>
      <c r="E9" s="13" t="n">
        <v>1</v>
      </c>
      <c r="F9" s="13" t="inlineStr">
        <is>
          <t>式</t>
        </is>
      </c>
      <c r="G9" s="14" t="n">
        <v>50000</v>
      </c>
      <c r="H9" s="14" t="n">
        <v>50000</v>
      </c>
      <c r="I9" s="14">
        <f>IF(ISNUMBER(G9),E9*G9,"別途")</f>
        <v/>
      </c>
      <c r="J9" s="14">
        <f>IF(ISNUMBER(H9),E9*H9,"別途")</f>
        <v/>
      </c>
      <c r="K9" s="15" t="inlineStr">
        <is>
          <t>フィー</t>
        </is>
      </c>
      <c r="L9" s="15" t="inlineStr">
        <is>
          <t>Casokdo</t>
        </is>
      </c>
      <c r="M9" s="16" t="inlineStr">
        <is>
          <t>★追加推奨</t>
        </is>
      </c>
    </row>
    <row r="10" ht="30" customHeight="1">
      <c r="A10" s="4" t="inlineStr">
        <is>
          <t>A</t>
        </is>
      </c>
      <c r="B10" s="5" t="inlineStr">
        <is>
          <t>商品・コンテンツ設計</t>
        </is>
      </c>
      <c r="C10" s="5" t="inlineStr">
        <is>
          <t>商品ストーリー整理</t>
        </is>
      </c>
      <c r="D10" s="6" t="inlineStr">
        <is>
          <t>訴求軸・比較軸の整理</t>
        </is>
      </c>
      <c r="E10" s="7" t="n">
        <v>1</v>
      </c>
      <c r="F10" s="7" t="inlineStr">
        <is>
          <t>式</t>
        </is>
      </c>
      <c r="G10" s="8" t="n">
        <v>15000</v>
      </c>
      <c r="H10" s="8" t="n">
        <v>15000</v>
      </c>
      <c r="I10" s="8">
        <f>IF(ISNUMBER(G10),E10*G10,"別途")</f>
        <v/>
      </c>
      <c r="J10" s="8">
        <f>IF(ISNUMBER(H10),E10*H10,"別途")</f>
        <v/>
      </c>
      <c r="K10" s="9" t="inlineStr">
        <is>
          <t>フィー</t>
        </is>
      </c>
      <c r="L10" s="9" t="inlineStr">
        <is>
          <t>Casokdo</t>
        </is>
      </c>
      <c r="M10" s="6" t="inlineStr">
        <is>
          <t>既存</t>
        </is>
      </c>
    </row>
    <row r="11" ht="30" customHeight="1">
      <c r="A11" s="4" t="inlineStr">
        <is>
          <t>A</t>
        </is>
      </c>
      <c r="B11" s="5" t="inlineStr">
        <is>
          <t>商品・コンテンツ設計</t>
        </is>
      </c>
      <c r="C11" s="5" t="inlineStr">
        <is>
          <t>リターン設計（支援プラン）</t>
        </is>
      </c>
      <c r="D11" s="6" t="inlineStr">
        <is>
          <t>早割／数量限定／セット組み／中盤投入枠の設計</t>
        </is>
      </c>
      <c r="E11" s="7" t="n">
        <v>1</v>
      </c>
      <c r="F11" s="7" t="inlineStr">
        <is>
          <t>式</t>
        </is>
      </c>
      <c r="G11" s="8" t="n">
        <v>15000</v>
      </c>
      <c r="H11" s="8" t="n">
        <v>50000</v>
      </c>
      <c r="I11" s="8">
        <f>IF(ISNUMBER(G11),E11*G11,"別途")</f>
        <v/>
      </c>
      <c r="J11" s="8">
        <f>IF(ISNUMBER(H11),E11*H11,"別途")</f>
        <v/>
      </c>
      <c r="K11" s="9" t="inlineStr">
        <is>
          <t>フィー</t>
        </is>
      </c>
      <c r="L11" s="9" t="inlineStr">
        <is>
          <t>Casokdo</t>
        </is>
      </c>
      <c r="M11" s="6" t="inlineStr">
        <is>
          <t>既存/要増額検討</t>
        </is>
      </c>
    </row>
    <row r="12" ht="30" customHeight="1">
      <c r="A12" s="10" t="inlineStr">
        <is>
          <t>A</t>
        </is>
      </c>
      <c r="B12" s="11" t="inlineStr">
        <is>
          <t>法務・規制対応</t>
        </is>
      </c>
      <c r="C12" s="11" t="inlineStr">
        <is>
          <t>認証状況の棚卸し・確認整理</t>
        </is>
      </c>
      <c r="D12" s="12" t="inlineStr">
        <is>
          <t>技適（電波法）／PSE（電気用品安全法）の取得状況・表示方法</t>
        </is>
      </c>
      <c r="E12" s="13" t="n">
        <v>1</v>
      </c>
      <c r="F12" s="13" t="inlineStr">
        <is>
          <t>式</t>
        </is>
      </c>
      <c r="G12" s="14" t="n">
        <v>50000</v>
      </c>
      <c r="H12" s="14" t="n">
        <v>50000</v>
      </c>
      <c r="I12" s="14">
        <f>IF(ISNUMBER(G12),E12*G12,"別途")</f>
        <v/>
      </c>
      <c r="J12" s="14">
        <f>IF(ISNUMBER(H12),E12*H12,"別途")</f>
        <v/>
      </c>
      <c r="K12" s="15" t="inlineStr">
        <is>
          <t>フィー</t>
        </is>
      </c>
      <c r="L12" s="15" t="inlineStr">
        <is>
          <t>Casokdo＋CL</t>
        </is>
      </c>
      <c r="M12" s="17" t="inlineStr">
        <is>
          <t>★追加推奨（最優先）</t>
        </is>
      </c>
    </row>
    <row r="13" ht="30" customHeight="1">
      <c r="A13" s="10" t="inlineStr">
        <is>
          <t>A</t>
        </is>
      </c>
      <c r="B13" s="11" t="inlineStr">
        <is>
          <t>法務・規制対応</t>
        </is>
      </c>
      <c r="C13" s="11" t="inlineStr">
        <is>
          <t>ページ表現の法規チェック</t>
        </is>
      </c>
      <c r="D13" s="12" t="inlineStr">
        <is>
          <t>景品表示法（優良誤認・No.1表記）／薬機法／特商法表記</t>
        </is>
      </c>
      <c r="E13" s="13" t="n">
        <v>1</v>
      </c>
      <c r="F13" s="13" t="inlineStr">
        <is>
          <t>式</t>
        </is>
      </c>
      <c r="G13" s="14" t="n">
        <v>50000</v>
      </c>
      <c r="H13" s="14" t="n">
        <v>50000</v>
      </c>
      <c r="I13" s="14">
        <f>IF(ISNUMBER(G13),E13*G13,"別途")</f>
        <v/>
      </c>
      <c r="J13" s="14">
        <f>IF(ISNUMBER(H13),E13*H13,"別途")</f>
        <v/>
      </c>
      <c r="K13" s="15" t="inlineStr">
        <is>
          <t>フィー</t>
        </is>
      </c>
      <c r="L13" s="15" t="inlineStr">
        <is>
          <t>Casokdo</t>
        </is>
      </c>
      <c r="M13" s="16" t="inlineStr">
        <is>
          <t>★追加推奨</t>
        </is>
      </c>
    </row>
    <row r="14" ht="30" customHeight="1">
      <c r="A14" s="18" t="inlineStr">
        <is>
          <t>A</t>
        </is>
      </c>
      <c r="B14" s="19" t="inlineStr">
        <is>
          <t>撮影・素材制作</t>
        </is>
      </c>
      <c r="C14" s="19" t="inlineStr">
        <is>
          <t>写真撮影　物撮り</t>
        </is>
      </c>
      <c r="D14" s="20" t="inlineStr">
        <is>
          <t>白背景＋質感カット 計10カット／レタッチ込</t>
        </is>
      </c>
      <c r="E14" s="21" t="n">
        <v>1</v>
      </c>
      <c r="F14" s="21" t="inlineStr">
        <is>
          <t>式</t>
        </is>
      </c>
      <c r="G14" s="22" t="n">
        <v>100000</v>
      </c>
      <c r="H14" s="22" t="n">
        <v>150000</v>
      </c>
      <c r="I14" s="22">
        <f>IF(ISNUMBER(G14),E14*G14,"別途")</f>
        <v/>
      </c>
      <c r="J14" s="22">
        <f>IF(ISNUMBER(H14),E14*H14,"別途")</f>
        <v/>
      </c>
      <c r="K14" s="23" t="inlineStr">
        <is>
          <t>フィー</t>
        </is>
      </c>
      <c r="L14" s="23" t="inlineStr">
        <is>
          <t>Casokdo</t>
        </is>
      </c>
      <c r="M14" s="24" t="inlineStr">
        <is>
          <t>▲金額未記入→充当</t>
        </is>
      </c>
    </row>
    <row r="15" ht="30" customHeight="1">
      <c r="A15" s="18" t="inlineStr">
        <is>
          <t>A</t>
        </is>
      </c>
      <c r="B15" s="19" t="inlineStr">
        <is>
          <t>撮影・素材制作</t>
        </is>
      </c>
      <c r="C15" s="19" t="inlineStr">
        <is>
          <t>写真撮影　シーン撮影</t>
        </is>
      </c>
      <c r="D15" s="20" t="inlineStr">
        <is>
          <t>使用シーン10カット／モデル1名（モデル費は実費別）</t>
        </is>
      </c>
      <c r="E15" s="21" t="n">
        <v>1</v>
      </c>
      <c r="F15" s="21" t="inlineStr">
        <is>
          <t>式</t>
        </is>
      </c>
      <c r="G15" s="22" t="n">
        <v>120000</v>
      </c>
      <c r="H15" s="22" t="n">
        <v>180000</v>
      </c>
      <c r="I15" s="22">
        <f>IF(ISNUMBER(G15),E15*G15,"別途")</f>
        <v/>
      </c>
      <c r="J15" s="22">
        <f>IF(ISNUMBER(H15),E15*H15,"別途")</f>
        <v/>
      </c>
      <c r="K15" s="23" t="inlineStr">
        <is>
          <t>フィー</t>
        </is>
      </c>
      <c r="L15" s="23" t="inlineStr">
        <is>
          <t>Casokdo</t>
        </is>
      </c>
      <c r="M15" s="24" t="inlineStr">
        <is>
          <t>▲金額未記入→充当</t>
        </is>
      </c>
    </row>
    <row r="16" ht="30" customHeight="1">
      <c r="A16" s="18" t="inlineStr">
        <is>
          <t>A</t>
        </is>
      </c>
      <c r="B16" s="19" t="inlineStr">
        <is>
          <t>撮影・素材制作</t>
        </is>
      </c>
      <c r="C16" s="19" t="inlineStr">
        <is>
          <t>動画撮影　メイン動画（1〜2分）</t>
        </is>
      </c>
      <c r="D16" s="20" t="inlineStr">
        <is>
          <t>1日／構成台本・ナレーション別</t>
        </is>
      </c>
      <c r="E16" s="21" t="n">
        <v>1</v>
      </c>
      <c r="F16" s="21" t="inlineStr">
        <is>
          <t>式</t>
        </is>
      </c>
      <c r="G16" s="22" t="n">
        <v>250000</v>
      </c>
      <c r="H16" s="22" t="n">
        <v>400000</v>
      </c>
      <c r="I16" s="22">
        <f>IF(ISNUMBER(G16),E16*G16,"別途")</f>
        <v/>
      </c>
      <c r="J16" s="22">
        <f>IF(ISNUMBER(H16),E16*H16,"別途")</f>
        <v/>
      </c>
      <c r="K16" s="23" t="inlineStr">
        <is>
          <t>フィー</t>
        </is>
      </c>
      <c r="L16" s="23" t="inlineStr">
        <is>
          <t>Casokdo</t>
        </is>
      </c>
      <c r="M16" s="24" t="inlineStr">
        <is>
          <t>▲金額未記入→充当</t>
        </is>
      </c>
    </row>
    <row r="17" ht="30" customHeight="1">
      <c r="A17" s="18" t="inlineStr">
        <is>
          <t>A</t>
        </is>
      </c>
      <c r="B17" s="19" t="inlineStr">
        <is>
          <t>撮影・素材制作</t>
        </is>
      </c>
      <c r="C17" s="19" t="inlineStr">
        <is>
          <t>スタジオ費　8時間想定</t>
        </is>
      </c>
      <c r="D17" s="20" t="inlineStr">
        <is>
          <t>機材・照明込</t>
        </is>
      </c>
      <c r="E17" s="21" t="n">
        <v>1</v>
      </c>
      <c r="F17" s="21" t="inlineStr">
        <is>
          <t>式</t>
        </is>
      </c>
      <c r="G17" s="22" t="n">
        <v>80000</v>
      </c>
      <c r="H17" s="22" t="n">
        <v>150000</v>
      </c>
      <c r="I17" s="22">
        <f>IF(ISNUMBER(G17),E17*G17,"別途")</f>
        <v/>
      </c>
      <c r="J17" s="22">
        <f>IF(ISNUMBER(H17),E17*H17,"別途")</f>
        <v/>
      </c>
      <c r="K17" s="23" t="inlineStr">
        <is>
          <t>フィー</t>
        </is>
      </c>
      <c r="L17" s="23" t="inlineStr">
        <is>
          <t>Casokdo</t>
        </is>
      </c>
      <c r="M17" s="24" t="inlineStr">
        <is>
          <t>▲金額未記入→充当</t>
        </is>
      </c>
    </row>
    <row r="18" ht="30" customHeight="1">
      <c r="A18" s="18" t="inlineStr">
        <is>
          <t>A</t>
        </is>
      </c>
      <c r="B18" s="19" t="inlineStr">
        <is>
          <t>撮影・素材制作</t>
        </is>
      </c>
      <c r="C18" s="19" t="inlineStr">
        <is>
          <t>SNS・広告用短尺（15〜30秒）</t>
        </is>
      </c>
      <c r="D18" s="20" t="inlineStr">
        <is>
          <t>3本／縦横比3種書き出し</t>
        </is>
      </c>
      <c r="E18" s="21" t="n">
        <v>1</v>
      </c>
      <c r="F18" s="21" t="inlineStr">
        <is>
          <t>式</t>
        </is>
      </c>
      <c r="G18" s="22" t="n">
        <v>120000</v>
      </c>
      <c r="H18" s="22" t="n">
        <v>200000</v>
      </c>
      <c r="I18" s="22">
        <f>IF(ISNUMBER(G18),E18*G18,"別途")</f>
        <v/>
      </c>
      <c r="J18" s="22">
        <f>IF(ISNUMBER(H18),E18*H18,"別途")</f>
        <v/>
      </c>
      <c r="K18" s="23" t="inlineStr">
        <is>
          <t>フィー</t>
        </is>
      </c>
      <c r="L18" s="23" t="inlineStr">
        <is>
          <t>Casokdo</t>
        </is>
      </c>
      <c r="M18" s="24" t="inlineStr">
        <is>
          <t>▲金額未記入→充当</t>
        </is>
      </c>
    </row>
    <row r="19" ht="30" customHeight="1">
      <c r="A19" s="18" t="inlineStr">
        <is>
          <t>A</t>
        </is>
      </c>
      <c r="B19" s="19" t="inlineStr">
        <is>
          <t>撮影・素材制作</t>
        </is>
      </c>
      <c r="C19" s="19" t="inlineStr">
        <is>
          <t>動画編集費</t>
        </is>
      </c>
      <c r="D19" s="20" t="inlineStr">
        <is>
          <t>メイン1本＋短尺3本／字幕・BGM込／修正2回</t>
        </is>
      </c>
      <c r="E19" s="21" t="n">
        <v>1</v>
      </c>
      <c r="F19" s="21" t="inlineStr">
        <is>
          <t>式</t>
        </is>
      </c>
      <c r="G19" s="22" t="n">
        <v>200000</v>
      </c>
      <c r="H19" s="22" t="n">
        <v>300000</v>
      </c>
      <c r="I19" s="22">
        <f>IF(ISNUMBER(G19),E19*G19,"別途")</f>
        <v/>
      </c>
      <c r="J19" s="22">
        <f>IF(ISNUMBER(H19),E19*H19,"別途")</f>
        <v/>
      </c>
      <c r="K19" s="23" t="inlineStr">
        <is>
          <t>フィー</t>
        </is>
      </c>
      <c r="L19" s="23" t="inlineStr">
        <is>
          <t>Casokdo</t>
        </is>
      </c>
      <c r="M19" s="24" t="inlineStr">
        <is>
          <t>▲金額未記入→充当</t>
        </is>
      </c>
    </row>
    <row r="20" ht="30" customHeight="1">
      <c r="A20" s="18" t="inlineStr">
        <is>
          <t>A</t>
        </is>
      </c>
      <c r="B20" s="19" t="inlineStr">
        <is>
          <t>撮影・素材制作</t>
        </is>
      </c>
      <c r="C20" s="19" t="inlineStr">
        <is>
          <t>図解・インフォグラフィック制作費</t>
        </is>
      </c>
      <c r="D20" s="20" t="inlineStr">
        <is>
          <t>3枚（AI活用制作）</t>
        </is>
      </c>
      <c r="E20" s="21" t="n">
        <v>1</v>
      </c>
      <c r="F20" s="21" t="inlineStr">
        <is>
          <t>式</t>
        </is>
      </c>
      <c r="G20" s="22" t="n">
        <v>45000</v>
      </c>
      <c r="H20" s="22" t="n">
        <v>90000</v>
      </c>
      <c r="I20" s="22">
        <f>IF(ISNUMBER(G20),E20*G20,"別途")</f>
        <v/>
      </c>
      <c r="J20" s="22">
        <f>IF(ISNUMBER(H20),E20*H20,"別途")</f>
        <v/>
      </c>
      <c r="K20" s="23" t="inlineStr">
        <is>
          <t>フィー</t>
        </is>
      </c>
      <c r="L20" s="23" t="inlineStr">
        <is>
          <t>Casokdo</t>
        </is>
      </c>
      <c r="M20" s="24" t="inlineStr">
        <is>
          <t>▲金額未記入→充当</t>
        </is>
      </c>
    </row>
    <row r="21" ht="30" customHeight="1">
      <c r="A21" s="4" t="inlineStr">
        <is>
          <t>A</t>
        </is>
      </c>
      <c r="B21" s="5" t="inlineStr">
        <is>
          <t>ページ制作</t>
        </is>
      </c>
      <c r="C21" s="5" t="inlineStr">
        <is>
          <t>クラウドファンディングページ構成設計費</t>
        </is>
      </c>
      <c r="D21" s="6" t="inlineStr">
        <is>
          <t>訴求順・比較・スペック表・FAQの設計</t>
        </is>
      </c>
      <c r="E21" s="7" t="n">
        <v>1</v>
      </c>
      <c r="F21" s="7" t="inlineStr">
        <is>
          <t>式</t>
        </is>
      </c>
      <c r="G21" s="8" t="n">
        <v>30000</v>
      </c>
      <c r="H21" s="8" t="n">
        <v>30000</v>
      </c>
      <c r="I21" s="8">
        <f>IF(ISNUMBER(G21),E21*G21,"別途")</f>
        <v/>
      </c>
      <c r="J21" s="8">
        <f>IF(ISNUMBER(H21),E21*H21,"別途")</f>
        <v/>
      </c>
      <c r="K21" s="9" t="inlineStr">
        <is>
          <t>フィー</t>
        </is>
      </c>
      <c r="L21" s="9" t="inlineStr">
        <is>
          <t>Casokdo</t>
        </is>
      </c>
      <c r="M21" s="6" t="inlineStr">
        <is>
          <t>既存</t>
        </is>
      </c>
    </row>
    <row r="22" ht="30" customHeight="1">
      <c r="A22" s="4" t="inlineStr">
        <is>
          <t>A</t>
        </is>
      </c>
      <c r="B22" s="5" t="inlineStr">
        <is>
          <t>ページ制作</t>
        </is>
      </c>
      <c r="C22" s="5" t="inlineStr">
        <is>
          <t>ページ原稿制作費</t>
        </is>
      </c>
      <c r="D22" s="6" t="inlineStr">
        <is>
          <t>5,000文字程度想定</t>
        </is>
      </c>
      <c r="E22" s="7" t="n">
        <v>1</v>
      </c>
      <c r="F22" s="7" t="inlineStr">
        <is>
          <t>式</t>
        </is>
      </c>
      <c r="G22" s="8" t="n">
        <v>100000</v>
      </c>
      <c r="H22" s="8" t="n">
        <v>100000</v>
      </c>
      <c r="I22" s="8">
        <f>IF(ISNUMBER(G22),E22*G22,"別途")</f>
        <v/>
      </c>
      <c r="J22" s="8">
        <f>IF(ISNUMBER(H22),E22*H22,"別途")</f>
        <v/>
      </c>
      <c r="K22" s="9" t="inlineStr">
        <is>
          <t>フィー</t>
        </is>
      </c>
      <c r="L22" s="9" t="inlineStr">
        <is>
          <t>Casokdo</t>
        </is>
      </c>
      <c r="M22" s="6" t="inlineStr">
        <is>
          <t>既存</t>
        </is>
      </c>
    </row>
    <row r="23" ht="30" customHeight="1">
      <c r="A23" s="4" t="inlineStr">
        <is>
          <t>A</t>
        </is>
      </c>
      <c r="B23" s="5" t="inlineStr">
        <is>
          <t>ページ制作</t>
        </is>
      </c>
      <c r="C23" s="5" t="inlineStr">
        <is>
          <t>ページ制作費（きびだんご）</t>
        </is>
      </c>
      <c r="D23" s="6" t="inlineStr">
        <is>
          <t>1媒体目</t>
        </is>
      </c>
      <c r="E23" s="7" t="n">
        <v>1</v>
      </c>
      <c r="F23" s="7" t="inlineStr">
        <is>
          <t>式</t>
        </is>
      </c>
      <c r="G23" s="8" t="n">
        <v>100000</v>
      </c>
      <c r="H23" s="8" t="n">
        <v>100000</v>
      </c>
      <c r="I23" s="8">
        <f>IF(ISNUMBER(G23),E23*G23,"別途")</f>
        <v/>
      </c>
      <c r="J23" s="8">
        <f>IF(ISNUMBER(H23),E23*H23,"別途")</f>
        <v/>
      </c>
      <c r="K23" s="9" t="inlineStr">
        <is>
          <t>フィー</t>
        </is>
      </c>
      <c r="L23" s="9" t="inlineStr">
        <is>
          <t>Casokdo</t>
        </is>
      </c>
      <c r="M23" s="6" t="inlineStr">
        <is>
          <t>既存</t>
        </is>
      </c>
    </row>
    <row r="24" ht="30" customHeight="1">
      <c r="A24" s="10" t="inlineStr">
        <is>
          <t>A</t>
        </is>
      </c>
      <c r="B24" s="11" t="inlineStr">
        <is>
          <t>ページ制作</t>
        </is>
      </c>
      <c r="C24" s="11" t="inlineStr">
        <is>
          <t>ページ制作費（GREEN FUNDING）</t>
        </is>
      </c>
      <c r="D24" s="12" t="inlineStr">
        <is>
          <t>2媒体目・原稿流用／フォーマット組み直し</t>
        </is>
      </c>
      <c r="E24" s="13" t="n">
        <v>1</v>
      </c>
      <c r="F24" s="13" t="inlineStr">
        <is>
          <t>式</t>
        </is>
      </c>
      <c r="G24" s="14" t="n">
        <v>150000</v>
      </c>
      <c r="H24" s="14" t="n">
        <v>150000</v>
      </c>
      <c r="I24" s="14">
        <f>IF(ISNUMBER(G24),E24*G24,"別途")</f>
        <v/>
      </c>
      <c r="J24" s="14">
        <f>IF(ISNUMBER(H24),E24*H24,"別途")</f>
        <v/>
      </c>
      <c r="K24" s="15" t="inlineStr">
        <is>
          <t>フィー</t>
        </is>
      </c>
      <c r="L24" s="15" t="inlineStr">
        <is>
          <t>Casokdo</t>
        </is>
      </c>
      <c r="M24" s="16" t="inlineStr">
        <is>
          <t>★追加推奨（併催時必須）</t>
        </is>
      </c>
    </row>
    <row r="25" ht="30" customHeight="1">
      <c r="A25" s="4" t="inlineStr">
        <is>
          <t>A</t>
        </is>
      </c>
      <c r="B25" s="5" t="inlineStr">
        <is>
          <t>ページ制作</t>
        </is>
      </c>
      <c r="C25" s="5" t="inlineStr">
        <is>
          <t>修正対応、公開設定費</t>
        </is>
      </c>
      <c r="D25" s="6" t="inlineStr">
        <is>
          <t>修正3回想定（きびだんご分）</t>
        </is>
      </c>
      <c r="E25" s="7" t="n">
        <v>1</v>
      </c>
      <c r="F25" s="7" t="inlineStr">
        <is>
          <t>式</t>
        </is>
      </c>
      <c r="G25" s="8" t="n">
        <v>30000</v>
      </c>
      <c r="H25" s="8" t="n">
        <v>30000</v>
      </c>
      <c r="I25" s="8">
        <f>IF(ISNUMBER(G25),E25*G25,"別途")</f>
        <v/>
      </c>
      <c r="J25" s="8">
        <f>IF(ISNUMBER(H25),E25*H25,"別途")</f>
        <v/>
      </c>
      <c r="K25" s="9" t="inlineStr">
        <is>
          <t>フィー</t>
        </is>
      </c>
      <c r="L25" s="9" t="inlineStr">
        <is>
          <t>Casokdo</t>
        </is>
      </c>
      <c r="M25" s="6" t="inlineStr">
        <is>
          <t>既存</t>
        </is>
      </c>
    </row>
    <row r="26" ht="30" customHeight="1">
      <c r="A26" s="10" t="inlineStr">
        <is>
          <t>A</t>
        </is>
      </c>
      <c r="B26" s="11" t="inlineStr">
        <is>
          <t>ページ制作</t>
        </is>
      </c>
      <c r="C26" s="11" t="inlineStr">
        <is>
          <t>媒体審査対応・修正（2媒体分）</t>
        </is>
      </c>
      <c r="D26" s="12" t="inlineStr">
        <is>
          <t>審査3〜7営業日／差し戻し対応</t>
        </is>
      </c>
      <c r="E26" s="13" t="n">
        <v>1</v>
      </c>
      <c r="F26" s="13" t="inlineStr">
        <is>
          <t>式</t>
        </is>
      </c>
      <c r="G26" s="14" t="n">
        <v>50000</v>
      </c>
      <c r="H26" s="14" t="n">
        <v>50000</v>
      </c>
      <c r="I26" s="14">
        <f>IF(ISNUMBER(G26),E26*G26,"別途")</f>
        <v/>
      </c>
      <c r="J26" s="14">
        <f>IF(ISNUMBER(H26),E26*H26,"別途")</f>
        <v/>
      </c>
      <c r="K26" s="15" t="inlineStr">
        <is>
          <t>フィー</t>
        </is>
      </c>
      <c r="L26" s="15" t="inlineStr">
        <is>
          <t>Casokdo</t>
        </is>
      </c>
      <c r="M26" s="16" t="inlineStr">
        <is>
          <t>★追加推奨</t>
        </is>
      </c>
    </row>
    <row r="27" ht="30" customHeight="1">
      <c r="A27" s="10" t="inlineStr">
        <is>
          <t>A</t>
        </is>
      </c>
      <c r="B27" s="11" t="inlineStr">
        <is>
          <t>計測・デジタル基盤</t>
        </is>
      </c>
      <c r="C27" s="11" t="inlineStr">
        <is>
          <t>計測環境構築</t>
        </is>
      </c>
      <c r="D27" s="12" t="inlineStr">
        <is>
          <t>GA4／Meta Pixel／UTM設計（LP側で計測設計）</t>
        </is>
      </c>
      <c r="E27" s="13" t="n">
        <v>1</v>
      </c>
      <c r="F27" s="13" t="inlineStr">
        <is>
          <t>式</t>
        </is>
      </c>
      <c r="G27" s="14" t="n">
        <v>80000</v>
      </c>
      <c r="H27" s="14" t="n">
        <v>80000</v>
      </c>
      <c r="I27" s="14">
        <f>IF(ISNUMBER(G27),E27*G27,"別途")</f>
        <v/>
      </c>
      <c r="J27" s="14">
        <f>IF(ISNUMBER(H27),E27*H27,"別途")</f>
        <v/>
      </c>
      <c r="K27" s="15" t="inlineStr">
        <is>
          <t>フィー</t>
        </is>
      </c>
      <c r="L27" s="15" t="inlineStr">
        <is>
          <t>Casokdo</t>
        </is>
      </c>
      <c r="M27" s="16" t="inlineStr">
        <is>
          <t>★追加推奨</t>
        </is>
      </c>
    </row>
    <row r="28" ht="30" customHeight="1">
      <c r="A28" s="10" t="inlineStr">
        <is>
          <t>A</t>
        </is>
      </c>
      <c r="B28" s="11" t="inlineStr">
        <is>
          <t>計測・デジタル基盤</t>
        </is>
      </c>
      <c r="C28" s="11" t="inlineStr">
        <is>
          <t>広告クリエイティブ制作</t>
        </is>
      </c>
      <c r="D28" s="12" t="inlineStr">
        <is>
          <t>バナー・動画 初期5〜8本＋期間中の差し替え</t>
        </is>
      </c>
      <c r="E28" s="13" t="n">
        <v>1</v>
      </c>
      <c r="F28" s="13" t="inlineStr">
        <is>
          <t>式</t>
        </is>
      </c>
      <c r="G28" s="14" t="n">
        <v>200000</v>
      </c>
      <c r="H28" s="14" t="n">
        <v>200000</v>
      </c>
      <c r="I28" s="14">
        <f>IF(ISNUMBER(G28),E28*G28,"別途")</f>
        <v/>
      </c>
      <c r="J28" s="14">
        <f>IF(ISNUMBER(H28),E28*H28,"別途")</f>
        <v/>
      </c>
      <c r="K28" s="15" t="inlineStr">
        <is>
          <t>フィー</t>
        </is>
      </c>
      <c r="L28" s="15" t="inlineStr">
        <is>
          <t>Casokdo</t>
        </is>
      </c>
      <c r="M28" s="16" t="inlineStr">
        <is>
          <t>★追加推奨</t>
        </is>
      </c>
    </row>
    <row r="29" ht="30" customHeight="1">
      <c r="A29" s="10" t="inlineStr">
        <is>
          <t>A</t>
        </is>
      </c>
      <c r="B29" s="11" t="inlineStr">
        <is>
          <t>計測・デジタル基盤</t>
        </is>
      </c>
      <c r="C29" s="11" t="inlineStr">
        <is>
          <t>LINE公式アカウント開設・運用</t>
        </is>
      </c>
      <c r="D29" s="12" t="inlineStr">
        <is>
          <t>自社側の事前登録リスト運用（GF公式LINE配信とは別）</t>
        </is>
      </c>
      <c r="E29" s="13" t="n">
        <v>1</v>
      </c>
      <c r="F29" s="13" t="inlineStr">
        <is>
          <t>式</t>
        </is>
      </c>
      <c r="G29" s="14" t="n">
        <v>80000</v>
      </c>
      <c r="H29" s="14" t="n">
        <v>80000</v>
      </c>
      <c r="I29" s="14">
        <f>IF(ISNUMBER(G29),E29*G29,"別途")</f>
        <v/>
      </c>
      <c r="J29" s="14">
        <f>IF(ISNUMBER(H29),E29*H29,"別途")</f>
        <v/>
      </c>
      <c r="K29" s="15" t="inlineStr">
        <is>
          <t>フィー</t>
        </is>
      </c>
      <c r="L29" s="15" t="inlineStr">
        <is>
          <t>Casokdo</t>
        </is>
      </c>
      <c r="M29" s="16" t="inlineStr">
        <is>
          <t>★追加推奨</t>
        </is>
      </c>
    </row>
    <row r="30" ht="30" customHeight="1">
      <c r="A30" s="4" t="inlineStr">
        <is>
          <t>A</t>
        </is>
      </c>
      <c r="B30" s="5" t="inlineStr">
        <is>
          <t>広告・運用（制作）</t>
        </is>
      </c>
      <c r="C30" s="5" t="inlineStr">
        <is>
          <t>ティザーページ企画費</t>
        </is>
      </c>
      <c r="D30" s="6" t="inlineStr">
        <is>
          <t>LP想定、Instagramへ誘導</t>
        </is>
      </c>
      <c r="E30" s="7" t="n">
        <v>1</v>
      </c>
      <c r="F30" s="7" t="inlineStr">
        <is>
          <t>式</t>
        </is>
      </c>
      <c r="G30" s="8" t="n">
        <v>30000</v>
      </c>
      <c r="H30" s="8" t="n">
        <v>30000</v>
      </c>
      <c r="I30" s="8">
        <f>IF(ISNUMBER(G30),E30*G30,"別途")</f>
        <v/>
      </c>
      <c r="J30" s="8">
        <f>IF(ISNUMBER(H30),E30*H30,"別途")</f>
        <v/>
      </c>
      <c r="K30" s="9" t="inlineStr">
        <is>
          <t>フィー</t>
        </is>
      </c>
      <c r="L30" s="9" t="inlineStr">
        <is>
          <t>Casokdo</t>
        </is>
      </c>
      <c r="M30" s="6" t="inlineStr">
        <is>
          <t>既存</t>
        </is>
      </c>
    </row>
    <row r="31" ht="30" customHeight="1">
      <c r="A31" s="4" t="inlineStr">
        <is>
          <t>A</t>
        </is>
      </c>
      <c r="B31" s="5" t="inlineStr">
        <is>
          <t>広告・運用（制作）</t>
        </is>
      </c>
      <c r="C31" s="5" t="inlineStr">
        <is>
          <t>ティザーページデザイン費</t>
        </is>
      </c>
      <c r="D31" s="6" t="inlineStr">
        <is>
          <t>LP想定</t>
        </is>
      </c>
      <c r="E31" s="7" t="n">
        <v>1</v>
      </c>
      <c r="F31" s="7" t="inlineStr">
        <is>
          <t>式</t>
        </is>
      </c>
      <c r="G31" s="8" t="n">
        <v>120000</v>
      </c>
      <c r="H31" s="8" t="n">
        <v>120000</v>
      </c>
      <c r="I31" s="8">
        <f>IF(ISNUMBER(G31),E31*G31,"別途")</f>
        <v/>
      </c>
      <c r="J31" s="8">
        <f>IF(ISNUMBER(H31),E31*H31,"別途")</f>
        <v/>
      </c>
      <c r="K31" s="9" t="inlineStr">
        <is>
          <t>フィー</t>
        </is>
      </c>
      <c r="L31" s="9" t="inlineStr">
        <is>
          <t>Casokdo</t>
        </is>
      </c>
      <c r="M31" s="6" t="inlineStr">
        <is>
          <t>既存</t>
        </is>
      </c>
    </row>
    <row r="32" ht="30" customHeight="1">
      <c r="A32" s="4" t="inlineStr">
        <is>
          <t>A</t>
        </is>
      </c>
      <c r="B32" s="5" t="inlineStr">
        <is>
          <t>広告・運用（制作）</t>
        </is>
      </c>
      <c r="C32" s="5" t="inlineStr">
        <is>
          <t>ティザーページコーディング費</t>
        </is>
      </c>
      <c r="D32" s="6" t="inlineStr">
        <is>
          <t>LP想定</t>
        </is>
      </c>
      <c r="E32" s="7" t="n">
        <v>1</v>
      </c>
      <c r="F32" s="7" t="inlineStr">
        <is>
          <t>式</t>
        </is>
      </c>
      <c r="G32" s="8" t="n">
        <v>150000</v>
      </c>
      <c r="H32" s="8" t="n">
        <v>150000</v>
      </c>
      <c r="I32" s="8">
        <f>IF(ISNUMBER(G32),E32*G32,"別途")</f>
        <v/>
      </c>
      <c r="J32" s="8">
        <f>IF(ISNUMBER(H32),E32*H32,"別途")</f>
        <v/>
      </c>
      <c r="K32" s="9" t="inlineStr">
        <is>
          <t>フィー</t>
        </is>
      </c>
      <c r="L32" s="9" t="inlineStr">
        <is>
          <t>Casokdo</t>
        </is>
      </c>
      <c r="M32" s="6" t="inlineStr">
        <is>
          <t>既存</t>
        </is>
      </c>
    </row>
    <row r="33" ht="30" customHeight="1">
      <c r="A33" s="4" t="inlineStr">
        <is>
          <t>A</t>
        </is>
      </c>
      <c r="B33" s="5" t="inlineStr">
        <is>
          <t>広告・運用（制作）</t>
        </is>
      </c>
      <c r="C33" s="5" t="inlineStr">
        <is>
          <t>広告運用費</t>
        </is>
      </c>
      <c r="D33" s="6" t="inlineStr">
        <is>
          <t>広告予算 3,000,000円 × 25%（実績額に対して請求）</t>
        </is>
      </c>
      <c r="E33" s="7" t="n">
        <v>1</v>
      </c>
      <c r="F33" s="7" t="inlineStr">
        <is>
          <t>式</t>
        </is>
      </c>
      <c r="G33" s="8" t="n">
        <v>750000</v>
      </c>
      <c r="H33" s="8" t="n">
        <v>750000</v>
      </c>
      <c r="I33" s="8">
        <f>IF(ISNUMBER(G33),E33*G33,"別途")</f>
        <v/>
      </c>
      <c r="J33" s="8">
        <f>IF(ISNUMBER(H33),E33*H33,"別途")</f>
        <v/>
      </c>
      <c r="K33" s="9" t="inlineStr">
        <is>
          <t>フィー</t>
        </is>
      </c>
      <c r="L33" s="9" t="inlineStr">
        <is>
          <t>Casokdo</t>
        </is>
      </c>
      <c r="M33" s="6" t="inlineStr">
        <is>
          <t>既存/算式を明記</t>
        </is>
      </c>
    </row>
    <row r="34" ht="30" customHeight="1">
      <c r="A34" s="4" t="inlineStr">
        <is>
          <t>A</t>
        </is>
      </c>
      <c r="B34" s="5" t="inlineStr">
        <is>
          <t>ポップアップ活動費</t>
        </is>
      </c>
      <c r="C34" s="5" t="inlineStr">
        <is>
          <t>企画・出店サポート費</t>
        </is>
      </c>
      <c r="D34" s="6" t="inlineStr">
        <is>
          <t>蔦屋家電＋出展の企画・申込・提出物対応</t>
        </is>
      </c>
      <c r="E34" s="7" t="n">
        <v>1</v>
      </c>
      <c r="F34" s="7" t="inlineStr">
        <is>
          <t>式</t>
        </is>
      </c>
      <c r="G34" s="8" t="n">
        <v>100000</v>
      </c>
      <c r="H34" s="8" t="n">
        <v>100000</v>
      </c>
      <c r="I34" s="8">
        <f>IF(ISNUMBER(G34),E34*G34,"別途")</f>
        <v/>
      </c>
      <c r="J34" s="8">
        <f>IF(ISNUMBER(H34),E34*H34,"別途")</f>
        <v/>
      </c>
      <c r="K34" s="9" t="inlineStr">
        <is>
          <t>フィー</t>
        </is>
      </c>
      <c r="L34" s="9" t="inlineStr">
        <is>
          <t>Casokdo</t>
        </is>
      </c>
      <c r="M34" s="6" t="inlineStr">
        <is>
          <t>既存</t>
        </is>
      </c>
    </row>
    <row r="35" ht="30" customHeight="1">
      <c r="A35" s="4" t="inlineStr">
        <is>
          <t>A</t>
        </is>
      </c>
      <c r="B35" s="5" t="inlineStr">
        <is>
          <t>ポップアップ活動費</t>
        </is>
      </c>
      <c r="C35" s="5" t="inlineStr">
        <is>
          <t>出店費（基本什器想定）</t>
        </is>
      </c>
      <c r="D35" s="6" t="inlineStr">
        <is>
          <t>蔦屋家電＋ 大型区画 30日（AIカメラ解析・接客ログ・製品ページ作成込）</t>
        </is>
      </c>
      <c r="E35" s="7" t="n">
        <v>1</v>
      </c>
      <c r="F35" s="7" t="inlineStr">
        <is>
          <t>式</t>
        </is>
      </c>
      <c r="G35" s="8" t="n">
        <v>270000</v>
      </c>
      <c r="H35" s="8" t="n">
        <v>330000</v>
      </c>
      <c r="I35" s="8">
        <f>IF(ISNUMBER(G35),E35*G35,"別途")</f>
        <v/>
      </c>
      <c r="J35" s="8">
        <f>IF(ISNUMBER(H35),E35*H35,"別途")</f>
        <v/>
      </c>
      <c r="K35" s="9" t="inlineStr">
        <is>
          <t>実費</t>
        </is>
      </c>
      <c r="L35" s="9" t="inlineStr">
        <is>
          <t>会場</t>
        </is>
      </c>
      <c r="M35" s="6" t="inlineStr">
        <is>
          <t>既存/プラン確定要</t>
        </is>
      </c>
    </row>
    <row r="36" ht="30" customHeight="1">
      <c r="A36" s="4" t="inlineStr">
        <is>
          <t>A</t>
        </is>
      </c>
      <c r="B36" s="5" t="inlineStr">
        <is>
          <t>ポップアップ活動費</t>
        </is>
      </c>
      <c r="C36" s="5" t="inlineStr">
        <is>
          <t>設営・撤去費</t>
        </is>
      </c>
      <c r="D36" s="6" t="inlineStr"/>
      <c r="E36" s="7" t="n">
        <v>1</v>
      </c>
      <c r="F36" s="7" t="inlineStr">
        <is>
          <t>式</t>
        </is>
      </c>
      <c r="G36" s="8" t="n">
        <v>150000</v>
      </c>
      <c r="H36" s="8" t="n">
        <v>150000</v>
      </c>
      <c r="I36" s="8">
        <f>IF(ISNUMBER(G36),E36*G36,"別途")</f>
        <v/>
      </c>
      <c r="J36" s="8">
        <f>IF(ISNUMBER(H36),E36*H36,"別途")</f>
        <v/>
      </c>
      <c r="K36" s="9" t="inlineStr">
        <is>
          <t>フィー</t>
        </is>
      </c>
      <c r="L36" s="9" t="inlineStr">
        <is>
          <t>Casokdo</t>
        </is>
      </c>
      <c r="M36" s="6" t="inlineStr">
        <is>
          <t>既存</t>
        </is>
      </c>
    </row>
    <row r="37" ht="30" customHeight="1">
      <c r="A37" s="4" t="inlineStr">
        <is>
          <t>A</t>
        </is>
      </c>
      <c r="B37" s="5" t="inlineStr">
        <is>
          <t>ポップアップ活動費</t>
        </is>
      </c>
      <c r="C37" s="5" t="inlineStr">
        <is>
          <t>運営・オペレーション費</t>
        </is>
      </c>
      <c r="D37" s="6" t="inlineStr">
        <is>
          <t>内容確定後に別途お見積</t>
        </is>
      </c>
      <c r="E37" s="7" t="n">
        <v>1</v>
      </c>
      <c r="F37" s="7" t="inlineStr">
        <is>
          <t>式</t>
        </is>
      </c>
      <c r="G37" s="25" t="inlineStr">
        <is>
          <t>別途</t>
        </is>
      </c>
      <c r="H37" s="25" t="inlineStr">
        <is>
          <t>別途</t>
        </is>
      </c>
      <c r="I37" s="25" t="inlineStr">
        <is>
          <t>別途</t>
        </is>
      </c>
      <c r="J37" s="25" t="inlineStr">
        <is>
          <t>別途</t>
        </is>
      </c>
      <c r="K37" s="9" t="inlineStr">
        <is>
          <t>フィー</t>
        </is>
      </c>
      <c r="L37" s="9" t="inlineStr">
        <is>
          <t>Casokdo</t>
        </is>
      </c>
      <c r="M37" s="26" t="inlineStr">
        <is>
          <t>※0円表記→別途見積へ</t>
        </is>
      </c>
    </row>
    <row r="38" ht="30" customHeight="1">
      <c r="A38" s="4" t="inlineStr">
        <is>
          <t>A</t>
        </is>
      </c>
      <c r="B38" s="5" t="inlineStr">
        <is>
          <t>ポップアップ活動費</t>
        </is>
      </c>
      <c r="C38" s="5" t="inlineStr">
        <is>
          <t>会場デコレーション手配</t>
        </is>
      </c>
      <c r="D38" s="6" t="inlineStr">
        <is>
          <t>各アイテム展示 未定。内容確定後に別途お見積</t>
        </is>
      </c>
      <c r="E38" s="7" t="n">
        <v>1</v>
      </c>
      <c r="F38" s="7" t="inlineStr">
        <is>
          <t>式</t>
        </is>
      </c>
      <c r="G38" s="25" t="inlineStr">
        <is>
          <t>別途</t>
        </is>
      </c>
      <c r="H38" s="25" t="inlineStr">
        <is>
          <t>別途</t>
        </is>
      </c>
      <c r="I38" s="25" t="inlineStr">
        <is>
          <t>別途</t>
        </is>
      </c>
      <c r="J38" s="25" t="inlineStr">
        <is>
          <t>別途</t>
        </is>
      </c>
      <c r="K38" s="9" t="inlineStr">
        <is>
          <t>フィー</t>
        </is>
      </c>
      <c r="L38" s="9" t="inlineStr">
        <is>
          <t>Casokdo</t>
        </is>
      </c>
      <c r="M38" s="26" t="inlineStr">
        <is>
          <t>※0円表記→別途見積へ</t>
        </is>
      </c>
    </row>
    <row r="39" ht="30" customHeight="1">
      <c r="A39" s="4" t="inlineStr">
        <is>
          <t>A</t>
        </is>
      </c>
      <c r="B39" s="5" t="inlineStr">
        <is>
          <t>事前体験会</t>
        </is>
      </c>
      <c r="C39" s="5" t="inlineStr">
        <is>
          <t>事前体験会　開催企画費</t>
        </is>
      </c>
      <c r="D39" s="6" t="inlineStr">
        <is>
          <t>メディア・インフルエンサー向け</t>
        </is>
      </c>
      <c r="E39" s="7" t="n">
        <v>1</v>
      </c>
      <c r="F39" s="7" t="inlineStr">
        <is>
          <t>式</t>
        </is>
      </c>
      <c r="G39" s="8" t="n">
        <v>150000</v>
      </c>
      <c r="H39" s="8" t="n">
        <v>150000</v>
      </c>
      <c r="I39" s="8">
        <f>IF(ISNUMBER(G39),E39*G39,"別途")</f>
        <v/>
      </c>
      <c r="J39" s="8">
        <f>IF(ISNUMBER(H39),E39*H39,"別途")</f>
        <v/>
      </c>
      <c r="K39" s="9" t="inlineStr">
        <is>
          <t>フィー</t>
        </is>
      </c>
      <c r="L39" s="9" t="inlineStr">
        <is>
          <t>Casokdo</t>
        </is>
      </c>
      <c r="M39" s="6" t="inlineStr">
        <is>
          <t>既存</t>
        </is>
      </c>
    </row>
    <row r="40" ht="30" customHeight="1">
      <c r="A40" s="4" t="inlineStr">
        <is>
          <t>A</t>
        </is>
      </c>
      <c r="B40" s="5" t="inlineStr">
        <is>
          <t>事前体験会</t>
        </is>
      </c>
      <c r="C40" s="5" t="inlineStr">
        <is>
          <t>事前体験会　会場費</t>
        </is>
      </c>
      <c r="D40" s="6" t="inlineStr">
        <is>
          <t>1日想定</t>
        </is>
      </c>
      <c r="E40" s="7" t="n">
        <v>1</v>
      </c>
      <c r="F40" s="7" t="inlineStr">
        <is>
          <t>式</t>
        </is>
      </c>
      <c r="G40" s="8" t="n">
        <v>100000</v>
      </c>
      <c r="H40" s="8" t="n">
        <v>100000</v>
      </c>
      <c r="I40" s="8">
        <f>IF(ISNUMBER(G40),E40*G40,"別途")</f>
        <v/>
      </c>
      <c r="J40" s="8">
        <f>IF(ISNUMBER(H40),E40*H40,"別途")</f>
        <v/>
      </c>
      <c r="K40" s="9" t="inlineStr">
        <is>
          <t>実費</t>
        </is>
      </c>
      <c r="L40" s="9" t="inlineStr">
        <is>
          <t>会場</t>
        </is>
      </c>
      <c r="M40" s="6" t="inlineStr">
        <is>
          <t>既存</t>
        </is>
      </c>
    </row>
    <row r="41" ht="30" customHeight="1">
      <c r="A41" s="4" t="inlineStr">
        <is>
          <t>A</t>
        </is>
      </c>
      <c r="B41" s="5" t="inlineStr">
        <is>
          <t>事前体験会</t>
        </is>
      </c>
      <c r="C41" s="5" t="inlineStr">
        <is>
          <t>体験会　運営費</t>
        </is>
      </c>
      <c r="D41" s="6" t="inlineStr">
        <is>
          <t>集客、告知、運営（人数×日数の内訳を別紙で明記）</t>
        </is>
      </c>
      <c r="E41" s="7" t="n">
        <v>1</v>
      </c>
      <c r="F41" s="7" t="inlineStr">
        <is>
          <t>式</t>
        </is>
      </c>
      <c r="G41" s="8" t="n">
        <v>450000</v>
      </c>
      <c r="H41" s="8" t="n">
        <v>450000</v>
      </c>
      <c r="I41" s="8">
        <f>IF(ISNUMBER(G41),E41*G41,"別途")</f>
        <v/>
      </c>
      <c r="J41" s="8">
        <f>IF(ISNUMBER(H41),E41*H41,"別途")</f>
        <v/>
      </c>
      <c r="K41" s="9" t="inlineStr">
        <is>
          <t>フィー</t>
        </is>
      </c>
      <c r="L41" s="9" t="inlineStr">
        <is>
          <t>Casokdo</t>
        </is>
      </c>
      <c r="M41" s="6" t="inlineStr">
        <is>
          <t>既存/内訳明記</t>
        </is>
      </c>
    </row>
    <row r="42" ht="30" customHeight="1">
      <c r="A42" s="10" t="inlineStr">
        <is>
          <t>A</t>
        </is>
      </c>
      <c r="B42" s="11" t="inlineStr">
        <is>
          <t>PR</t>
        </is>
      </c>
      <c r="C42" s="11" t="inlineStr">
        <is>
          <t>プレスリリース制作</t>
        </is>
      </c>
      <c r="D42" s="12" t="inlineStr">
        <is>
          <t>公開日朝配信用／ガジェット系メディア想定</t>
        </is>
      </c>
      <c r="E42" s="13" t="n">
        <v>1</v>
      </c>
      <c r="F42" s="13" t="inlineStr">
        <is>
          <t>式</t>
        </is>
      </c>
      <c r="G42" s="14" t="n">
        <v>100000</v>
      </c>
      <c r="H42" s="14" t="n">
        <v>100000</v>
      </c>
      <c r="I42" s="14">
        <f>IF(ISNUMBER(G42),E42*G42,"別途")</f>
        <v/>
      </c>
      <c r="J42" s="14">
        <f>IF(ISNUMBER(H42),E42*H42,"別途")</f>
        <v/>
      </c>
      <c r="K42" s="15" t="inlineStr">
        <is>
          <t>フィー</t>
        </is>
      </c>
      <c r="L42" s="15" t="inlineStr">
        <is>
          <t>Casokdo</t>
        </is>
      </c>
      <c r="M42" s="16" t="inlineStr">
        <is>
          <t>★追加推奨</t>
        </is>
      </c>
    </row>
    <row r="43" ht="30" customHeight="1">
      <c r="A43" s="10" t="inlineStr">
        <is>
          <t>A</t>
        </is>
      </c>
      <c r="B43" s="11" t="inlineStr">
        <is>
          <t>PR</t>
        </is>
      </c>
      <c r="C43" s="11" t="inlineStr">
        <is>
          <t>メディアリスト作成・アタック</t>
        </is>
      </c>
      <c r="D43" s="12" t="inlineStr">
        <is>
          <t>体験会への招集と個別フォロー</t>
        </is>
      </c>
      <c r="E43" s="13" t="n">
        <v>1</v>
      </c>
      <c r="F43" s="13" t="inlineStr">
        <is>
          <t>式</t>
        </is>
      </c>
      <c r="G43" s="14" t="n">
        <v>150000</v>
      </c>
      <c r="H43" s="14" t="n">
        <v>150000</v>
      </c>
      <c r="I43" s="14">
        <f>IF(ISNUMBER(G43),E43*G43,"別途")</f>
        <v/>
      </c>
      <c r="J43" s="14">
        <f>IF(ISNUMBER(H43),E43*H43,"別途")</f>
        <v/>
      </c>
      <c r="K43" s="15" t="inlineStr">
        <is>
          <t>フィー</t>
        </is>
      </c>
      <c r="L43" s="15" t="inlineStr">
        <is>
          <t>Casokdo</t>
        </is>
      </c>
      <c r="M43" s="16" t="inlineStr">
        <is>
          <t>★追加推奨</t>
        </is>
      </c>
    </row>
    <row r="44" ht="30" customHeight="1">
      <c r="A44" s="10" t="inlineStr">
        <is>
          <t>A</t>
        </is>
      </c>
      <c r="B44" s="11" t="inlineStr">
        <is>
          <t>期間中の運営</t>
        </is>
      </c>
      <c r="C44" s="11" t="inlineStr">
        <is>
          <t>活動報告（新着情報）制作・投稿</t>
        </is>
      </c>
      <c r="D44" s="12" t="inlineStr">
        <is>
          <t>週1〜2本×45日＝8〜10本／2媒体投稿</t>
        </is>
      </c>
      <c r="E44" s="13" t="n">
        <v>1</v>
      </c>
      <c r="F44" s="13" t="inlineStr">
        <is>
          <t>式</t>
        </is>
      </c>
      <c r="G44" s="14" t="n">
        <v>120000</v>
      </c>
      <c r="H44" s="14" t="n">
        <v>160000</v>
      </c>
      <c r="I44" s="14">
        <f>IF(ISNUMBER(G44),E44*G44,"別途")</f>
        <v/>
      </c>
      <c r="J44" s="14">
        <f>IF(ISNUMBER(H44),E44*H44,"別途")</f>
        <v/>
      </c>
      <c r="K44" s="15" t="inlineStr">
        <is>
          <t>フィー</t>
        </is>
      </c>
      <c r="L44" s="15" t="inlineStr">
        <is>
          <t>Casokdo</t>
        </is>
      </c>
      <c r="M44" s="16" t="inlineStr">
        <is>
          <t>★追加推奨</t>
        </is>
      </c>
    </row>
    <row r="45" ht="30" customHeight="1">
      <c r="A45" s="10" t="inlineStr">
        <is>
          <t>A</t>
        </is>
      </c>
      <c r="B45" s="11" t="inlineStr">
        <is>
          <t>期間中の運営</t>
        </is>
      </c>
      <c r="C45" s="11" t="inlineStr">
        <is>
          <t>コメント・問い合わせ一次対応</t>
        </is>
      </c>
      <c r="D45" s="12" t="inlineStr">
        <is>
          <t>2媒体＋LP経由／仕様・互換性・技適の技術質問対応</t>
        </is>
      </c>
      <c r="E45" s="13" t="n">
        <v>1</v>
      </c>
      <c r="F45" s="13" t="inlineStr">
        <is>
          <t>式</t>
        </is>
      </c>
      <c r="G45" s="14" t="n">
        <v>200000</v>
      </c>
      <c r="H45" s="14" t="n">
        <v>200000</v>
      </c>
      <c r="I45" s="14">
        <f>IF(ISNUMBER(G45),E45*G45,"別途")</f>
        <v/>
      </c>
      <c r="J45" s="14">
        <f>IF(ISNUMBER(H45),E45*H45,"別途")</f>
        <v/>
      </c>
      <c r="K45" s="15" t="inlineStr">
        <is>
          <t>フィー</t>
        </is>
      </c>
      <c r="L45" s="15" t="inlineStr">
        <is>
          <t>Casokdo</t>
        </is>
      </c>
      <c r="M45" s="16" t="inlineStr">
        <is>
          <t>★追加推奨</t>
        </is>
      </c>
    </row>
    <row r="46" ht="30" customHeight="1">
      <c r="A46" s="10" t="inlineStr">
        <is>
          <t>A</t>
        </is>
      </c>
      <c r="B46" s="11" t="inlineStr">
        <is>
          <t>期間中の運営</t>
        </is>
      </c>
      <c r="C46" s="11" t="inlineStr">
        <is>
          <t>追加リターン・価格改定の途中投入対応</t>
        </is>
      </c>
      <c r="D46" s="12" t="inlineStr">
        <is>
          <t>中盤テコ入れ用</t>
        </is>
      </c>
      <c r="E46" s="13" t="n">
        <v>1</v>
      </c>
      <c r="F46" s="13" t="inlineStr">
        <is>
          <t>式</t>
        </is>
      </c>
      <c r="G46" s="14" t="n">
        <v>50000</v>
      </c>
      <c r="H46" s="14" t="n">
        <v>50000</v>
      </c>
      <c r="I46" s="14">
        <f>IF(ISNUMBER(G46),E46*G46,"別途")</f>
        <v/>
      </c>
      <c r="J46" s="14">
        <f>IF(ISNUMBER(H46),E46*H46,"別途")</f>
        <v/>
      </c>
      <c r="K46" s="15" t="inlineStr">
        <is>
          <t>フィー</t>
        </is>
      </c>
      <c r="L46" s="15" t="inlineStr">
        <is>
          <t>Casokdo</t>
        </is>
      </c>
      <c r="M46" s="16" t="inlineStr">
        <is>
          <t>★追加推奨</t>
        </is>
      </c>
    </row>
    <row r="47" ht="30" customHeight="1">
      <c r="A47" s="10" t="inlineStr">
        <is>
          <t>A</t>
        </is>
      </c>
      <c r="B47" s="11" t="inlineStr">
        <is>
          <t>期間中の運営</t>
        </is>
      </c>
      <c r="C47" s="11" t="inlineStr">
        <is>
          <t>SNS（Instagram）投稿制作・運用</t>
        </is>
      </c>
      <c r="D47" s="12" t="inlineStr">
        <is>
          <t>3ヶ月／週2投稿想定</t>
        </is>
      </c>
      <c r="E47" s="13" t="n">
        <v>1</v>
      </c>
      <c r="F47" s="13" t="inlineStr">
        <is>
          <t>式</t>
        </is>
      </c>
      <c r="G47" s="14" t="n">
        <v>240000</v>
      </c>
      <c r="H47" s="14" t="n">
        <v>360000</v>
      </c>
      <c r="I47" s="14">
        <f>IF(ISNUMBER(G47),E47*G47,"別途")</f>
        <v/>
      </c>
      <c r="J47" s="14">
        <f>IF(ISNUMBER(H47),E47*H47,"別途")</f>
        <v/>
      </c>
      <c r="K47" s="15" t="inlineStr">
        <is>
          <t>フィー</t>
        </is>
      </c>
      <c r="L47" s="15" t="inlineStr">
        <is>
          <t>Casokdo</t>
        </is>
      </c>
      <c r="M47" s="16" t="inlineStr">
        <is>
          <t>★追加推奨</t>
        </is>
      </c>
    </row>
    <row r="48" ht="30" customHeight="1">
      <c r="A48" s="10" t="inlineStr">
        <is>
          <t>A</t>
        </is>
      </c>
      <c r="B48" s="11" t="inlineStr">
        <is>
          <t>期間中の運営</t>
        </is>
      </c>
      <c r="C48" s="11" t="inlineStr">
        <is>
          <t>週次レポート・広告効果検証</t>
        </is>
      </c>
      <c r="D48" s="12" t="inlineStr">
        <is>
          <t>CPA・流入元・リターン別の可視化と配分組み替え</t>
        </is>
      </c>
      <c r="E48" s="13" t="n">
        <v>1</v>
      </c>
      <c r="F48" s="13" t="inlineStr">
        <is>
          <t>式</t>
        </is>
      </c>
      <c r="G48" s="14" t="n">
        <v>100000</v>
      </c>
      <c r="H48" s="14" t="n">
        <v>100000</v>
      </c>
      <c r="I48" s="14">
        <f>IF(ISNUMBER(G48),E48*G48,"別途")</f>
        <v/>
      </c>
      <c r="J48" s="14">
        <f>IF(ISNUMBER(H48),E48*H48,"別途")</f>
        <v/>
      </c>
      <c r="K48" s="15" t="inlineStr">
        <is>
          <t>フィー</t>
        </is>
      </c>
      <c r="L48" s="15" t="inlineStr">
        <is>
          <t>Casokdo</t>
        </is>
      </c>
      <c r="M48" s="16" t="inlineStr">
        <is>
          <t>★追加推奨</t>
        </is>
      </c>
    </row>
    <row r="49" ht="30" customHeight="1">
      <c r="A49" s="10" t="inlineStr">
        <is>
          <t>A</t>
        </is>
      </c>
      <c r="B49" s="11" t="inlineStr">
        <is>
          <t>終了後・物流</t>
        </is>
      </c>
      <c r="C49" s="11" t="inlineStr">
        <is>
          <t>支援者リスト整備・住所不備対応</t>
        </is>
      </c>
      <c r="D49" s="12" t="inlineStr">
        <is>
          <t>2媒体分のマージ・名寄せ・配送データ整形</t>
        </is>
      </c>
      <c r="E49" s="13" t="n">
        <v>1</v>
      </c>
      <c r="F49" s="13" t="inlineStr">
        <is>
          <t>式</t>
        </is>
      </c>
      <c r="G49" s="14" t="n">
        <v>80000</v>
      </c>
      <c r="H49" s="14" t="n">
        <v>80000</v>
      </c>
      <c r="I49" s="14">
        <f>IF(ISNUMBER(G49),E49*G49,"別途")</f>
        <v/>
      </c>
      <c r="J49" s="14">
        <f>IF(ISNUMBER(H49),E49*H49,"別途")</f>
        <v/>
      </c>
      <c r="K49" s="15" t="inlineStr">
        <is>
          <t>フィー</t>
        </is>
      </c>
      <c r="L49" s="15" t="inlineStr">
        <is>
          <t>Casokdo</t>
        </is>
      </c>
      <c r="M49" s="16" t="inlineStr">
        <is>
          <t>★追加推奨</t>
        </is>
      </c>
    </row>
    <row r="50" ht="30" customHeight="1">
      <c r="A50" s="10" t="inlineStr">
        <is>
          <t>A</t>
        </is>
      </c>
      <c r="B50" s="11" t="inlineStr">
        <is>
          <t>終了後・物流</t>
        </is>
      </c>
      <c r="C50" s="11" t="inlineStr">
        <is>
          <t>同梱物制作</t>
        </is>
      </c>
      <c r="D50" s="12" t="inlineStr">
        <is>
          <t>取扱説明書・保証書・サンクスカード</t>
        </is>
      </c>
      <c r="E50" s="13" t="n">
        <v>1</v>
      </c>
      <c r="F50" s="13" t="inlineStr">
        <is>
          <t>式</t>
        </is>
      </c>
      <c r="G50" s="14" t="n">
        <v>150000</v>
      </c>
      <c r="H50" s="14" t="n">
        <v>250000</v>
      </c>
      <c r="I50" s="14">
        <f>IF(ISNUMBER(G50),E50*G50,"別途")</f>
        <v/>
      </c>
      <c r="J50" s="14">
        <f>IF(ISNUMBER(H50),E50*H50,"別途")</f>
        <v/>
      </c>
      <c r="K50" s="15" t="inlineStr">
        <is>
          <t>フィー</t>
        </is>
      </c>
      <c r="L50" s="15" t="inlineStr">
        <is>
          <t>Casokdo</t>
        </is>
      </c>
      <c r="M50" s="16" t="inlineStr">
        <is>
          <t>★追加推奨</t>
        </is>
      </c>
    </row>
    <row r="51" ht="30" customHeight="1">
      <c r="A51" s="10" t="inlineStr">
        <is>
          <t>A</t>
        </is>
      </c>
      <c r="B51" s="11" t="inlineStr">
        <is>
          <t>終了後・物流</t>
        </is>
      </c>
      <c r="C51" s="11" t="inlineStr">
        <is>
          <t>発送代行手配・梱包設計</t>
        </is>
      </c>
      <c r="D51" s="12" t="inlineStr">
        <is>
          <t>倉庫選定・梱包資材設計・出荷指示（配送費・資材費は実費別）</t>
        </is>
      </c>
      <c r="E51" s="13" t="n">
        <v>1</v>
      </c>
      <c r="F51" s="13" t="inlineStr">
        <is>
          <t>式</t>
        </is>
      </c>
      <c r="G51" s="14" t="n">
        <v>100000</v>
      </c>
      <c r="H51" s="14" t="n">
        <v>100000</v>
      </c>
      <c r="I51" s="14">
        <f>IF(ISNUMBER(G51),E51*G51,"別途")</f>
        <v/>
      </c>
      <c r="J51" s="14">
        <f>IF(ISNUMBER(H51),E51*H51,"別途")</f>
        <v/>
      </c>
      <c r="K51" s="15" t="inlineStr">
        <is>
          <t>フィー</t>
        </is>
      </c>
      <c r="L51" s="15" t="inlineStr">
        <is>
          <t>Casokdo</t>
        </is>
      </c>
      <c r="M51" s="16" t="inlineStr">
        <is>
          <t>★追加推奨</t>
        </is>
      </c>
    </row>
    <row r="52" ht="30" customHeight="1">
      <c r="A52" s="10" t="inlineStr">
        <is>
          <t>A</t>
        </is>
      </c>
      <c r="B52" s="11" t="inlineStr">
        <is>
          <t>終了後・物流</t>
        </is>
      </c>
      <c r="C52" s="11" t="inlineStr">
        <is>
          <t>遅延・不良・返品対応フロー設計</t>
        </is>
      </c>
      <c r="D52" s="12" t="inlineStr">
        <is>
          <t>告知文テンプレ／交換対応の窓口設計</t>
        </is>
      </c>
      <c r="E52" s="13" t="n">
        <v>1</v>
      </c>
      <c r="F52" s="13" t="inlineStr">
        <is>
          <t>式</t>
        </is>
      </c>
      <c r="G52" s="14" t="n">
        <v>50000</v>
      </c>
      <c r="H52" s="14" t="n">
        <v>50000</v>
      </c>
      <c r="I52" s="14">
        <f>IF(ISNUMBER(G52),E52*G52,"別途")</f>
        <v/>
      </c>
      <c r="J52" s="14">
        <f>IF(ISNUMBER(H52),E52*H52,"別途")</f>
        <v/>
      </c>
      <c r="K52" s="15" t="inlineStr">
        <is>
          <t>フィー</t>
        </is>
      </c>
      <c r="L52" s="15" t="inlineStr">
        <is>
          <t>Casokdo</t>
        </is>
      </c>
      <c r="M52" s="16" t="inlineStr">
        <is>
          <t>★追加推奨</t>
        </is>
      </c>
    </row>
    <row r="53" ht="30" customHeight="1">
      <c r="A53" s="27" t="inlineStr">
        <is>
          <t>B</t>
        </is>
      </c>
      <c r="B53" s="28" t="inlineStr">
        <is>
          <t>広告予算枠</t>
        </is>
      </c>
      <c r="C53" s="28" t="inlineStr">
        <is>
          <t>事前広告費</t>
        </is>
      </c>
      <c r="D53" s="29" t="inlineStr">
        <is>
          <t>Instagram・Google想定／実費精算・上限管理</t>
        </is>
      </c>
      <c r="E53" s="30" t="n">
        <v>1</v>
      </c>
      <c r="F53" s="30" t="inlineStr">
        <is>
          <t>式</t>
        </is>
      </c>
      <c r="G53" s="31" t="n">
        <v>1000000</v>
      </c>
      <c r="H53" s="31" t="n">
        <v>1000000</v>
      </c>
      <c r="I53" s="31">
        <f>IF(ISNUMBER(G53),E53*G53,"別途")</f>
        <v/>
      </c>
      <c r="J53" s="31">
        <f>IF(ISNUMBER(H53),E53*H53,"別途")</f>
        <v/>
      </c>
      <c r="K53" s="32" t="inlineStr">
        <is>
          <t>実費枠</t>
        </is>
      </c>
      <c r="L53" s="32" t="inlineStr">
        <is>
          <t>媒体</t>
        </is>
      </c>
      <c r="M53" s="29" t="inlineStr">
        <is>
          <t>既存/【B】へ分離</t>
        </is>
      </c>
    </row>
    <row r="54" ht="30" customHeight="1">
      <c r="A54" s="27" t="inlineStr">
        <is>
          <t>B</t>
        </is>
      </c>
      <c r="B54" s="28" t="inlineStr">
        <is>
          <t>広告予算枠</t>
        </is>
      </c>
      <c r="C54" s="28" t="inlineStr">
        <is>
          <t>開催中広告費</t>
        </is>
      </c>
      <c r="D54" s="29" t="inlineStr">
        <is>
          <t>Instagram・Google想定／実費精算・上限管理</t>
        </is>
      </c>
      <c r="E54" s="30" t="n">
        <v>1</v>
      </c>
      <c r="F54" s="30" t="inlineStr">
        <is>
          <t>式</t>
        </is>
      </c>
      <c r="G54" s="31" t="n">
        <v>2000000</v>
      </c>
      <c r="H54" s="31" t="n">
        <v>2000000</v>
      </c>
      <c r="I54" s="31">
        <f>IF(ISNUMBER(G54),E54*G54,"別途")</f>
        <v/>
      </c>
      <c r="J54" s="31">
        <f>IF(ISNUMBER(H54),E54*H54,"別途")</f>
        <v/>
      </c>
      <c r="K54" s="32" t="inlineStr">
        <is>
          <t>実費枠</t>
        </is>
      </c>
      <c r="L54" s="32" t="inlineStr">
        <is>
          <t>媒体</t>
        </is>
      </c>
      <c r="M54" s="29" t="inlineStr">
        <is>
          <t>既存/【B】へ分離</t>
        </is>
      </c>
    </row>
    <row r="55" ht="30" customHeight="1">
      <c r="A55" s="33" t="inlineStr">
        <is>
          <t>C</t>
        </is>
      </c>
      <c r="B55" s="34" t="inlineStr">
        <is>
          <t>実費</t>
        </is>
      </c>
      <c r="C55" s="34" t="inlineStr">
        <is>
          <t>プレスリリース配信費</t>
        </is>
      </c>
      <c r="D55" s="35" t="inlineStr">
        <is>
          <t>PR TIMES等 約30,000円/回 × 3回（公開時・中間・達成時）</t>
        </is>
      </c>
      <c r="E55" s="36" t="n">
        <v>3</v>
      </c>
      <c r="F55" s="36" t="inlineStr">
        <is>
          <t>回</t>
        </is>
      </c>
      <c r="G55" s="37" t="n">
        <v>30000</v>
      </c>
      <c r="H55" s="37" t="n">
        <v>30000</v>
      </c>
      <c r="I55" s="37">
        <f>IF(ISNUMBER(G55),E55*G55,"別途")</f>
        <v/>
      </c>
      <c r="J55" s="37">
        <f>IF(ISNUMBER(H55),E55*H55,"別途")</f>
        <v/>
      </c>
      <c r="K55" s="38" t="inlineStr">
        <is>
          <t>実費</t>
        </is>
      </c>
      <c r="L55" s="38" t="inlineStr">
        <is>
          <t>媒体</t>
        </is>
      </c>
      <c r="M55" s="39" t="inlineStr">
        <is>
          <t>★追加推奨</t>
        </is>
      </c>
    </row>
    <row r="56" ht="30" customHeight="1">
      <c r="A56" s="33" t="inlineStr">
        <is>
          <t>C</t>
        </is>
      </c>
      <c r="B56" s="34" t="inlineStr">
        <is>
          <t>実費</t>
        </is>
      </c>
      <c r="C56" s="34" t="inlineStr">
        <is>
          <t>GREEN FUNDING オプション</t>
        </is>
      </c>
      <c r="D56" s="35" t="inlineStr">
        <is>
          <t>GREENティザー ¥82,500〜／New Gadgetレビュー ¥165,000／バイラル動画3本 ¥110,000／LINE配信 ¥55,000（税込・支援金相殺可）</t>
        </is>
      </c>
      <c r="E56" s="36" t="n">
        <v>1</v>
      </c>
      <c r="F56" s="36" t="inlineStr">
        <is>
          <t>式</t>
        </is>
      </c>
      <c r="G56" s="37" t="n">
        <v>250000</v>
      </c>
      <c r="H56" s="37" t="n">
        <v>450000</v>
      </c>
      <c r="I56" s="37">
        <f>IF(ISNUMBER(G56),E56*G56,"別途")</f>
        <v/>
      </c>
      <c r="J56" s="37">
        <f>IF(ISNUMBER(H56),E56*H56,"別途")</f>
        <v/>
      </c>
      <c r="K56" s="38" t="inlineStr">
        <is>
          <t>実費</t>
        </is>
      </c>
      <c r="L56" s="38" t="inlineStr">
        <is>
          <t>媒体</t>
        </is>
      </c>
      <c r="M56" s="39" t="inlineStr">
        <is>
          <t>★追加推奨</t>
        </is>
      </c>
    </row>
    <row r="57" ht="30" customHeight="1">
      <c r="A57" s="33" t="inlineStr">
        <is>
          <t>C</t>
        </is>
      </c>
      <c r="B57" s="34" t="inlineStr">
        <is>
          <t>実費</t>
        </is>
      </c>
      <c r="C57" s="34" t="inlineStr">
        <is>
          <t>ティザーLP周辺費</t>
        </is>
      </c>
      <c r="D57" s="35" t="inlineStr">
        <is>
          <t>ドメイン・サーバー・事前登録フォームツール（3ヶ月）</t>
        </is>
      </c>
      <c r="E57" s="36" t="n">
        <v>1</v>
      </c>
      <c r="F57" s="36" t="inlineStr">
        <is>
          <t>式</t>
        </is>
      </c>
      <c r="G57" s="37" t="n">
        <v>30000</v>
      </c>
      <c r="H57" s="37" t="n">
        <v>30000</v>
      </c>
      <c r="I57" s="37">
        <f>IF(ISNUMBER(G57),E57*G57,"別途")</f>
        <v/>
      </c>
      <c r="J57" s="37">
        <f>IF(ISNUMBER(H57),E57*H57,"別途")</f>
        <v/>
      </c>
      <c r="K57" s="38" t="inlineStr">
        <is>
          <t>実費</t>
        </is>
      </c>
      <c r="L57" s="38" t="inlineStr">
        <is>
          <t>—</t>
        </is>
      </c>
      <c r="M57" s="39" t="inlineStr">
        <is>
          <t>★追加推奨</t>
        </is>
      </c>
    </row>
    <row r="58" ht="30" customHeight="1">
      <c r="A58" s="33" t="inlineStr">
        <is>
          <t>C</t>
        </is>
      </c>
      <c r="B58" s="34" t="inlineStr">
        <is>
          <t>実費</t>
        </is>
      </c>
      <c r="C58" s="34" t="inlineStr">
        <is>
          <t>モデル・出演者費</t>
        </is>
      </c>
      <c r="D58" s="35" t="inlineStr">
        <is>
          <t>発生時</t>
        </is>
      </c>
      <c r="E58" s="36" t="n">
        <v>1</v>
      </c>
      <c r="F58" s="36" t="inlineStr">
        <is>
          <t>式</t>
        </is>
      </c>
      <c r="G58" s="40" t="inlineStr">
        <is>
          <t>別途</t>
        </is>
      </c>
      <c r="H58" s="40" t="inlineStr">
        <is>
          <t>別途</t>
        </is>
      </c>
      <c r="I58" s="40" t="inlineStr">
        <is>
          <t>別途</t>
        </is>
      </c>
      <c r="J58" s="40" t="inlineStr">
        <is>
          <t>別途</t>
        </is>
      </c>
      <c r="K58" s="38" t="inlineStr">
        <is>
          <t>実費</t>
        </is>
      </c>
      <c r="L58" s="38" t="inlineStr">
        <is>
          <t>—</t>
        </is>
      </c>
      <c r="M58" s="35" t="inlineStr">
        <is>
          <t>既存（脚注）</t>
        </is>
      </c>
    </row>
    <row r="59" ht="30" customHeight="1">
      <c r="A59" s="33" t="inlineStr">
        <is>
          <t>C</t>
        </is>
      </c>
      <c r="B59" s="34" t="inlineStr">
        <is>
          <t>実費</t>
        </is>
      </c>
      <c r="C59" s="34" t="inlineStr">
        <is>
          <t>交通費・配送費</t>
        </is>
      </c>
      <c r="D59" s="35" t="inlineStr"/>
      <c r="E59" s="36" t="inlineStr"/>
      <c r="F59" s="36" t="inlineStr">
        <is>
          <t>実費</t>
        </is>
      </c>
      <c r="G59" s="40" t="inlineStr">
        <is>
          <t>別途</t>
        </is>
      </c>
      <c r="H59" s="40" t="inlineStr">
        <is>
          <t>別途</t>
        </is>
      </c>
      <c r="I59" s="40" t="inlineStr">
        <is>
          <t>別途</t>
        </is>
      </c>
      <c r="J59" s="40" t="inlineStr">
        <is>
          <t>別途</t>
        </is>
      </c>
      <c r="K59" s="38" t="inlineStr">
        <is>
          <t>実費</t>
        </is>
      </c>
      <c r="L59" s="38" t="inlineStr">
        <is>
          <t>—</t>
        </is>
      </c>
      <c r="M59" s="35" t="inlineStr">
        <is>
          <t>既存（脚注）</t>
        </is>
      </c>
    </row>
    <row r="60" ht="30" customHeight="1">
      <c r="A60" s="33" t="inlineStr">
        <is>
          <t>C</t>
        </is>
      </c>
      <c r="B60" s="34" t="inlineStr">
        <is>
          <t>実費</t>
        </is>
      </c>
      <c r="C60" s="34" t="inlineStr">
        <is>
          <t>知財出願・PL保険・輸入関税</t>
        </is>
      </c>
      <c r="D60" s="35" t="inlineStr">
        <is>
          <t>意匠・特許の出願（公開前）／生産物賠償保険／輸入通関</t>
        </is>
      </c>
      <c r="E60" s="36" t="inlineStr"/>
      <c r="F60" s="36" t="inlineStr">
        <is>
          <t>実費</t>
        </is>
      </c>
      <c r="G60" s="40" t="inlineStr">
        <is>
          <t>別途</t>
        </is>
      </c>
      <c r="H60" s="40" t="inlineStr">
        <is>
          <t>別途</t>
        </is>
      </c>
      <c r="I60" s="40" t="inlineStr">
        <is>
          <t>別途</t>
        </is>
      </c>
      <c r="J60" s="40" t="inlineStr">
        <is>
          <t>別途</t>
        </is>
      </c>
      <c r="K60" s="38" t="inlineStr">
        <is>
          <t>実費</t>
        </is>
      </c>
      <c r="L60" s="38" t="inlineStr">
        <is>
          <t>クライアント</t>
        </is>
      </c>
      <c r="M60" s="39" t="inlineStr">
        <is>
          <t>★追加推奨</t>
        </is>
      </c>
    </row>
    <row r="61" ht="30" customHeight="1">
      <c r="A61" s="33" t="inlineStr">
        <is>
          <t>D</t>
        </is>
      </c>
      <c r="B61" s="34" t="inlineStr">
        <is>
          <t>支援額連動</t>
        </is>
      </c>
      <c r="C61" s="34" t="inlineStr">
        <is>
          <t>プラットフォーム手数料</t>
        </is>
      </c>
      <c r="D61" s="35" t="inlineStr">
        <is>
          <t>支援総額（送料・消費税込）の20%＋消費税／きびだんご×GF併催時／支援金から相殺</t>
        </is>
      </c>
      <c r="E61" s="36" t="inlineStr"/>
      <c r="F61" s="36" t="inlineStr">
        <is>
          <t>支援額連動</t>
        </is>
      </c>
      <c r="G61" s="40" t="inlineStr">
        <is>
          <t>別途</t>
        </is>
      </c>
      <c r="H61" s="40" t="inlineStr">
        <is>
          <t>別途</t>
        </is>
      </c>
      <c r="I61" s="40" t="inlineStr">
        <is>
          <t>別途</t>
        </is>
      </c>
      <c r="J61" s="40" t="inlineStr">
        <is>
          <t>別途</t>
        </is>
      </c>
      <c r="K61" s="38" t="inlineStr">
        <is>
          <t>手数料</t>
        </is>
      </c>
      <c r="L61" s="38" t="inlineStr">
        <is>
          <t>媒体</t>
        </is>
      </c>
      <c r="M61" s="41" t="inlineStr">
        <is>
          <t>率を明記（重要）</t>
        </is>
      </c>
    </row>
    <row r="63" ht="22" customHeight="1">
      <c r="A63" s="42" t="n"/>
      <c r="B63" s="42" t="n"/>
      <c r="C63" s="43" t="inlineStr">
        <is>
          <t>【A】制作・運営フィー　小計（税抜）</t>
        </is>
      </c>
      <c r="D63" s="42" t="n"/>
      <c r="E63" s="42" t="n"/>
      <c r="F63" s="42" t="n"/>
      <c r="G63" s="42" t="n"/>
      <c r="H63" s="42" t="n"/>
      <c r="I63" s="44">
        <f>SUMIF($A$6:$A$61,"A",I$6:I$61)</f>
        <v/>
      </c>
      <c r="J63" s="44">
        <f>SUMIF($A$6:$A$61,"A",J$6:J$61)</f>
        <v/>
      </c>
      <c r="K63" s="42" t="n"/>
      <c r="L63" s="42" t="n"/>
      <c r="M63" s="42" t="n"/>
    </row>
    <row r="64" ht="22" customHeight="1">
      <c r="A64" s="42" t="n"/>
      <c r="B64" s="42" t="n"/>
      <c r="C64" s="43" t="inlineStr">
        <is>
          <t>【B】広告予算枠　小計（税抜・実費精算）</t>
        </is>
      </c>
      <c r="D64" s="42" t="n"/>
      <c r="E64" s="42" t="n"/>
      <c r="F64" s="42" t="n"/>
      <c r="G64" s="42" t="n"/>
      <c r="H64" s="42" t="n"/>
      <c r="I64" s="44">
        <f>SUMIF($A$6:$A$61,"B",I$6:I$61)</f>
        <v/>
      </c>
      <c r="J64" s="44">
        <f>SUMIF($A$6:$A$61,"B",J$6:J$61)</f>
        <v/>
      </c>
      <c r="K64" s="42" t="n"/>
      <c r="L64" s="42" t="n"/>
      <c r="M64" s="42" t="n"/>
    </row>
    <row r="65" ht="22" customHeight="1">
      <c r="A65" s="42" t="n"/>
      <c r="B65" s="42" t="n"/>
      <c r="C65" s="43" t="inlineStr">
        <is>
          <t>【C】実費　小計（税抜）</t>
        </is>
      </c>
      <c r="D65" s="42" t="n"/>
      <c r="E65" s="42" t="n"/>
      <c r="F65" s="42" t="n"/>
      <c r="G65" s="42" t="n"/>
      <c r="H65" s="42" t="n"/>
      <c r="I65" s="44">
        <f>SUMIF($A$6:$A$61,"C",I$6:I$61)</f>
        <v/>
      </c>
      <c r="J65" s="44">
        <f>SUMIF($A$6:$A$61,"C",J$6:J$61)</f>
        <v/>
      </c>
      <c r="K65" s="42" t="n"/>
      <c r="L65" s="42" t="n"/>
      <c r="M65" s="42" t="n"/>
    </row>
    <row r="66">
      <c r="A66" s="45" t="n"/>
      <c r="B66" s="45" t="n"/>
      <c r="C66" s="46" t="inlineStr">
        <is>
          <t>A＋B＋C 合計（税抜）</t>
        </is>
      </c>
      <c r="D66" s="45" t="n"/>
      <c r="E66" s="45" t="n"/>
      <c r="F66" s="45" t="n"/>
      <c r="G66" s="45" t="n"/>
      <c r="H66" s="45" t="n"/>
      <c r="I66" s="47">
        <f>SUM(I63:I65)</f>
        <v/>
      </c>
      <c r="J66" s="47">
        <f>SUM(J63:J65)</f>
        <v/>
      </c>
      <c r="K66" s="45" t="n"/>
      <c r="L66" s="45" t="n"/>
      <c r="M66" s="45" t="n"/>
    </row>
    <row r="67">
      <c r="A67" s="48" t="n"/>
      <c r="B67" s="48" t="n"/>
      <c r="C67" s="49" t="inlineStr">
        <is>
          <t>消費税（10%）</t>
        </is>
      </c>
      <c r="D67" s="48" t="n"/>
      <c r="E67" s="48" t="n"/>
      <c r="F67" s="48" t="n"/>
      <c r="G67" s="48" t="n"/>
      <c r="H67" s="48" t="n"/>
      <c r="I67" s="50">
        <f>I66*0.1</f>
        <v/>
      </c>
      <c r="J67" s="50">
        <f>J66*0.1</f>
        <v/>
      </c>
      <c r="K67" s="48" t="n"/>
      <c r="L67" s="48" t="n"/>
      <c r="M67" s="48" t="n"/>
    </row>
    <row r="68">
      <c r="A68" s="42" t="n"/>
      <c r="B68" s="42" t="n"/>
      <c r="C68" s="51" t="inlineStr">
        <is>
          <t>税込金額</t>
        </is>
      </c>
      <c r="D68" s="42" t="n"/>
      <c r="E68" s="42" t="n"/>
      <c r="F68" s="42" t="n"/>
      <c r="G68" s="42" t="n"/>
      <c r="H68" s="42" t="n"/>
      <c r="I68" s="52">
        <f>I66*1.1</f>
        <v/>
      </c>
      <c r="J68" s="52">
        <f>J66*1.1</f>
        <v/>
      </c>
      <c r="K68" s="42" t="n"/>
      <c r="L68" s="42" t="n"/>
      <c r="M68" s="42" t="n"/>
    </row>
    <row r="69">
      <c r="A69" s="48" t="n"/>
      <c r="B69" s="48" t="n"/>
      <c r="C69" s="49" t="inlineStr">
        <is>
          <t>【D】プラットフォーム手数料</t>
        </is>
      </c>
      <c r="D69" s="35" t="inlineStr">
        <is>
          <t>支援総額（送料・消費税込）の20%＋消費税。支援金から相殺のため本合計には含まない</t>
        </is>
      </c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</row>
    <row r="72">
      <c r="A72" s="53" t="inlineStr">
        <is>
          <t>■ 表記・条件に追記すべき事項</t>
        </is>
      </c>
    </row>
    <row r="73">
      <c r="A73" s="54" t="inlineStr">
        <is>
          <t>・納期：2026年11月11日プロジェクト公開（別途スケジュール参照）　※本見積は2026年8月10日までのご発注を前提とした日程です</t>
        </is>
      </c>
    </row>
    <row r="74">
      <c r="A74" s="54" t="inlineStr">
        <is>
          <t>・本見積有効期限：発行日より30日</t>
        </is>
      </c>
    </row>
    <row r="75">
      <c r="A75" s="54" t="inlineStr">
        <is>
          <t>・【B】広告予算枠は実費精算・上限管理とし、上限超過時は書面承認を得たうえで追加する。広告運用費（25%）は実際の出稿額に対して請求する。</t>
        </is>
      </c>
    </row>
    <row r="76">
      <c r="A76" s="54" t="inlineStr">
        <is>
          <t>・発注後のキャンセル：媒体・会場の規定に準じ、既発生分＋所定のキャンセル料を実費請求（蔦屋家電＋は申込以降のキャンセルで所定料金が発生）。</t>
        </is>
      </c>
    </row>
    <row r="77">
      <c r="A77" s="54" t="inlineStr">
        <is>
          <t>・広告費・出展費の立替：可／立替手数料 5%（要協議）。GREEN FUNDINGは支援金相殺での支払いに対応。</t>
        </is>
      </c>
    </row>
    <row r="78">
      <c r="A78" s="54" t="inlineStr">
        <is>
          <t>・プラットフォーム手数料は送料・税金を含む支援総額に対して適用され、その金額に消費税が加算されます。</t>
        </is>
      </c>
    </row>
    <row r="79">
      <c r="A79" s="54" t="inlineStr"/>
    </row>
    <row r="80">
      <c r="A80" s="53" t="inlineStr">
        <is>
          <t>■ 状態欄の凡例</t>
        </is>
      </c>
    </row>
    <row r="81">
      <c r="A81" s="54" t="inlineStr">
        <is>
          <t>▲金額未記入→充当　：元見積で数量・単価が空欄だった行。参考レンジを充当（要・相見積による確定）</t>
        </is>
      </c>
    </row>
    <row r="82">
      <c r="A82" s="54" t="inlineStr">
        <is>
          <t>★追加推奨　：元見積に無く、追加を推奨する項目</t>
        </is>
      </c>
    </row>
    <row r="83">
      <c r="A83" s="54" t="inlineStr">
        <is>
          <t>※0円表記→別途見積へ　：元見積で0円と記載されていた行。無償提供と誤読されるため表記変更を推奨</t>
        </is>
      </c>
    </row>
    <row r="84">
      <c r="A84" s="54" t="inlineStr"/>
    </row>
    <row r="85">
      <c r="A85" s="53" t="inlineStr">
        <is>
          <t>■ 損益分岐の目安（施策費 9,000,000円・手数料20%・原価率別）</t>
        </is>
      </c>
    </row>
    <row r="86">
      <c r="A86" s="54" t="inlineStr">
        <is>
          <t>原価率20% → 支援総額 15,000,000円 ／ 原価率30% → 18,000,000円 ／ 原価率40% → 22,500,000円</t>
        </is>
      </c>
    </row>
    <row r="87">
      <c r="A87" s="54" t="inlineStr">
        <is>
          <t>※単価は相場ベースの参考値です。撮影・スタジオ・出展プラン等は相見積を取得のうえ確定してください。</t>
        </is>
      </c>
    </row>
  </sheetData>
  <autoFilter ref="A5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2026-07-30T02:16:36Z</dcterms:created>
  <dcterms:modified xsi:type="dcterms:W3CDTF">2026-07-30T02:16:36Z</dcterms:modified>
</cp:coreProperties>
</file>